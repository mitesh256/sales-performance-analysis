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tes\Downloads\"/>
    </mc:Choice>
  </mc:AlternateContent>
  <xr:revisionPtr revIDLastSave="0" documentId="13_ncr:1_{D018ABE0-8F32-4745-A331-708C7DEEAE2A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Read Me" sheetId="1" r:id="rId1"/>
    <sheet name="Data" sheetId="2" r:id="rId2"/>
    <sheet name="Summary" sheetId="3" r:id="rId3"/>
    <sheet name="Analysis Tasks" sheetId="4" r:id="rId4"/>
  </sheets>
  <definedNames>
    <definedName name="_xlchart.v1.0" hidden="1">Summary!$A$16:$A$21</definedName>
    <definedName name="_xlchart.v1.1" hidden="1">Summary!$B$16:$B$21</definedName>
    <definedName name="_xlchart.v1.2" hidden="1">Summary!$C$16:$C$21</definedName>
    <definedName name="_xlchart.v1.3" hidden="1">Summary!$D$16:$D$21</definedName>
    <definedName name="_xlchart.v1.4" hidden="1">Summary!$E$16:$E$21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D20" i="3"/>
  <c r="C20" i="3"/>
  <c r="B20" i="3"/>
  <c r="D19" i="3"/>
  <c r="C19" i="3"/>
  <c r="B19" i="3"/>
  <c r="D18" i="3"/>
  <c r="C18" i="3"/>
  <c r="B18" i="3"/>
  <c r="D17" i="3"/>
  <c r="C17" i="3"/>
  <c r="B17" i="3"/>
  <c r="D13" i="3"/>
  <c r="C13" i="3"/>
  <c r="B13" i="3"/>
  <c r="D12" i="3"/>
  <c r="C12" i="3"/>
  <c r="B12" i="3"/>
  <c r="D11" i="3"/>
  <c r="C11" i="3"/>
  <c r="B11" i="3"/>
  <c r="B8" i="3"/>
  <c r="B6" i="3"/>
  <c r="B5" i="3"/>
  <c r="B4" i="3"/>
  <c r="B3" i="3"/>
  <c r="B7" i="3" s="1"/>
</calcChain>
</file>

<file path=xl/sharedStrings.xml><?xml version="1.0" encoding="utf-8"?>
<sst xmlns="http://schemas.openxmlformats.org/spreadsheetml/2006/main" count="3697" uniqueCount="703">
  <si>
    <t>SALES PERFORMANCE ANALYSIS</t>
  </si>
  <si>
    <t>Objective</t>
  </si>
  <si>
    <t>Analyze sales, profit, product/category, regional and monthly trends using Excel.</t>
  </si>
  <si>
    <t>Dataset</t>
  </si>
  <si>
    <t>600 rows of synthetic practice data; not real company data.</t>
  </si>
  <si>
    <t>Business questions</t>
  </si>
  <si>
    <t>What are sales and profit? Which category/region performs best? Which products drive sales? How do monthly sales change?</t>
  </si>
  <si>
    <t>Workflow</t>
  </si>
  <si>
    <t>Review Data; validate data; review Summary formulas/charts; build PivotTables; write verified insights.</t>
  </si>
  <si>
    <t>Excel skills</t>
  </si>
  <si>
    <t>SUM, SUMIF, COUNTIF, COUNTA, IFERROR, tables, filtering, PivotTables and charts.</t>
  </si>
  <si>
    <t>Order_ID</t>
  </si>
  <si>
    <t>Order_Date</t>
  </si>
  <si>
    <t>Region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</si>
  <si>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</si>
  <si>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</si>
  <si>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</si>
  <si>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</si>
  <si>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</si>
  <si>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</si>
  <si>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</si>
  <si>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</si>
  <si>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Customer_Segment</t>
  </si>
  <si>
    <t>Month</t>
  </si>
  <si>
    <t>ORD-1381</t>
  </si>
  <si>
    <t>East</t>
  </si>
  <si>
    <t>Office Supplies</t>
  </si>
  <si>
    <t>Stapler</t>
  </si>
  <si>
    <t>Consumer</t>
  </si>
  <si>
    <t>Jan</t>
  </si>
  <si>
    <t>ORD-1104</t>
  </si>
  <si>
    <t>North</t>
  </si>
  <si>
    <t>Pen Pack</t>
  </si>
  <si>
    <t>Small Business</t>
  </si>
  <si>
    <t>ORD-1575</t>
  </si>
  <si>
    <t>Furniture</t>
  </si>
  <si>
    <t>Bookshelf</t>
  </si>
  <si>
    <t>Corporate</t>
  </si>
  <si>
    <t>ORD-1465</t>
  </si>
  <si>
    <t>West</t>
  </si>
  <si>
    <t>Office Chair</t>
  </si>
  <si>
    <t>ORD-1303</t>
  </si>
  <si>
    <t>Technology</t>
  </si>
  <si>
    <t>Headphones</t>
  </si>
  <si>
    <t>ORD-1410</t>
  </si>
  <si>
    <t>Desk</t>
  </si>
  <si>
    <t>ORD-1478</t>
  </si>
  <si>
    <t>Table</t>
  </si>
  <si>
    <t>ORD-1415</t>
  </si>
  <si>
    <t>ORD-1300</t>
  </si>
  <si>
    <t>ORD-1233</t>
  </si>
  <si>
    <t>South</t>
  </si>
  <si>
    <t>ORD-1540</t>
  </si>
  <si>
    <t>Printer Paper</t>
  </si>
  <si>
    <t>ORD-1170</t>
  </si>
  <si>
    <t>ORD-1272</t>
  </si>
  <si>
    <t>ORD-1369</t>
  </si>
  <si>
    <t>ORD-1429</t>
  </si>
  <si>
    <t>ORD-1454</t>
  </si>
  <si>
    <t>Monitor</t>
  </si>
  <si>
    <t>ORD-1138</t>
  </si>
  <si>
    <t>ORD-1385</t>
  </si>
  <si>
    <t>Keyboard</t>
  </si>
  <si>
    <t>ORD-1147</t>
  </si>
  <si>
    <t>ORD-1117</t>
  </si>
  <si>
    <t>Folder Pack</t>
  </si>
  <si>
    <t>ORD-1328</t>
  </si>
  <si>
    <t>ORD-1250</t>
  </si>
  <si>
    <t>Notebook</t>
  </si>
  <si>
    <t>ORD-1562</t>
  </si>
  <si>
    <t>ORD-1056</t>
  </si>
  <si>
    <t>ORD-1352</t>
  </si>
  <si>
    <t>Laptop</t>
  </si>
  <si>
    <t>ORD-1397</t>
  </si>
  <si>
    <t>ORD-1574</t>
  </si>
  <si>
    <t>ORD-1584</t>
  </si>
  <si>
    <t>ORD-1546</t>
  </si>
  <si>
    <t>ORD-1542</t>
  </si>
  <si>
    <t>ORD-1150</t>
  </si>
  <si>
    <t>ORD-1279</t>
  </si>
  <si>
    <t>ORD-1036</t>
  </si>
  <si>
    <t>ORD-1045</t>
  </si>
  <si>
    <t>ORD-1518</t>
  </si>
  <si>
    <t>ORD-1387</t>
  </si>
  <si>
    <t>ORD-1069</t>
  </si>
  <si>
    <t>ORD-1217</t>
  </si>
  <si>
    <t>ORD-1127</t>
  </si>
  <si>
    <t>ORD-1439</t>
  </si>
  <si>
    <t>ORD-1431</t>
  </si>
  <si>
    <t>ORD-1246</t>
  </si>
  <si>
    <t>ORD-1280</t>
  </si>
  <si>
    <t>ORD-1007</t>
  </si>
  <si>
    <t>Feb</t>
  </si>
  <si>
    <t>ORD-1196</t>
  </si>
  <si>
    <t>ORD-1172</t>
  </si>
  <si>
    <t>ORD-1001</t>
  </si>
  <si>
    <t>ORD-1133</t>
  </si>
  <si>
    <t>Mouse</t>
  </si>
  <si>
    <t>ORD-1359</t>
  </si>
  <si>
    <t>ORD-1033</t>
  </si>
  <si>
    <t>ORD-1243</t>
  </si>
  <si>
    <t>ORD-1376</t>
  </si>
  <si>
    <t>ORD-1010</t>
  </si>
  <si>
    <t>Filing Cabinet</t>
  </si>
  <si>
    <t>ORD-1581</t>
  </si>
  <si>
    <t>ORD-1087</t>
  </si>
  <si>
    <t>ORD-1218</t>
  </si>
  <si>
    <t>ORD-1588</t>
  </si>
  <si>
    <t>ORD-1580</t>
  </si>
  <si>
    <t>ORD-1258</t>
  </si>
  <si>
    <t>ORD-1583</t>
  </si>
  <si>
    <t>ORD-1171</t>
  </si>
  <si>
    <t>ORD-1460</t>
  </si>
  <si>
    <t>ORD-1516</t>
  </si>
  <si>
    <t>ORD-1322</t>
  </si>
  <si>
    <t>ORD-1310</t>
  </si>
  <si>
    <t>ORD-1480</t>
  </si>
  <si>
    <t>ORD-1501</t>
  </si>
  <si>
    <t>ORD-1120</t>
  </si>
  <si>
    <t>ORD-1365</t>
  </si>
  <si>
    <t>ORD-1538</t>
  </si>
  <si>
    <t>ORD-1497</t>
  </si>
  <si>
    <t>ORD-1198</t>
  </si>
  <si>
    <t>ORD-1313</t>
  </si>
  <si>
    <t>ORD-1386</t>
  </si>
  <si>
    <t>ORD-1418</t>
  </si>
  <si>
    <t>ORD-1436</t>
  </si>
  <si>
    <t>ORD-1221</t>
  </si>
  <si>
    <t>ORD-1157</t>
  </si>
  <si>
    <t>ORD-1018</t>
  </si>
  <si>
    <t>ORD-1434</t>
  </si>
  <si>
    <t>ORD-1074</t>
  </si>
  <si>
    <t>ORD-1443</t>
  </si>
  <si>
    <t>ORD-1414</t>
  </si>
  <si>
    <t>ORD-1118</t>
  </si>
  <si>
    <t>ORD-1462</t>
  </si>
  <si>
    <t>ORD-1100</t>
  </si>
  <si>
    <t>ORD-1306</t>
  </si>
  <si>
    <t>ORD-1241</t>
  </si>
  <si>
    <t>ORD-1329</t>
  </si>
  <si>
    <t>ORD-1528</t>
  </si>
  <si>
    <t>ORD-1408</t>
  </si>
  <si>
    <t>ORD-1256</t>
  </si>
  <si>
    <t>ORD-1522</t>
  </si>
  <si>
    <t>ORD-1457</t>
  </si>
  <si>
    <t>ORD-1182</t>
  </si>
  <si>
    <t>ORD-1273</t>
  </si>
  <si>
    <t>ORD-1357</t>
  </si>
  <si>
    <t>ORD-1390</t>
  </si>
  <si>
    <t>ORD-1533</t>
  </si>
  <si>
    <t>ORD-1536</t>
  </si>
  <si>
    <t>ORD-1058</t>
  </si>
  <si>
    <t>ORD-1178</t>
  </si>
  <si>
    <t>ORD-1287</t>
  </si>
  <si>
    <t>ORD-1083</t>
  </si>
  <si>
    <t>ORD-1168</t>
  </si>
  <si>
    <t>Mar</t>
  </si>
  <si>
    <t>ORD-1467</t>
  </si>
  <si>
    <t>ORD-1532</t>
  </si>
  <si>
    <t>ORD-1041</t>
  </si>
  <si>
    <t>ORD-1350</t>
  </si>
  <si>
    <t>ORD-1187</t>
  </si>
  <si>
    <t>ORD-1262</t>
  </si>
  <si>
    <t>ORD-1411</t>
  </si>
  <si>
    <t>ORD-1259</t>
  </si>
  <si>
    <t>ORD-1544</t>
  </si>
  <si>
    <t>ORD-1230</t>
  </si>
  <si>
    <t>ORD-1251</t>
  </si>
  <si>
    <t>ORD-1349</t>
  </si>
  <si>
    <t>ORD-1392</t>
  </si>
  <si>
    <t>ORD-1469</t>
  </si>
  <si>
    <t>ORD-1023</t>
  </si>
  <si>
    <t>ORD-1564</t>
  </si>
  <si>
    <t>ORD-1253</t>
  </si>
  <si>
    <t>ORD-1072</t>
  </si>
  <si>
    <t>ORD-1523</t>
  </si>
  <si>
    <t>ORD-1543</t>
  </si>
  <si>
    <t>ORD-1052</t>
  </si>
  <si>
    <t>ORD-1398</t>
  </si>
  <si>
    <t>ORD-1426</t>
  </si>
  <si>
    <t>ORD-1102</t>
  </si>
  <si>
    <t>ORD-1224</t>
  </si>
  <si>
    <t>ORD-1009</t>
  </si>
  <si>
    <t>ORD-1339</t>
  </si>
  <si>
    <t>ORD-1142</t>
  </si>
  <si>
    <t>ORD-1363</t>
  </si>
  <si>
    <t>ORD-1078</t>
  </si>
  <si>
    <t>ORD-1032</t>
  </si>
  <si>
    <t>ORD-1567</t>
  </si>
  <si>
    <t>ORD-1412</t>
  </si>
  <si>
    <t>ORD-1326</t>
  </si>
  <si>
    <t>ORD-1486</t>
  </si>
  <si>
    <t>ORD-1148</t>
  </si>
  <si>
    <t>ORD-1510</t>
  </si>
  <si>
    <t>ORD-1327</t>
  </si>
  <si>
    <t>ORD-1566</t>
  </si>
  <si>
    <t>ORD-1593</t>
  </si>
  <si>
    <t>ORD-1189</t>
  </si>
  <si>
    <t>ORD-1384</t>
  </si>
  <si>
    <t>ORD-1097</t>
  </si>
  <si>
    <t>ORD-1315</t>
  </si>
  <si>
    <t>ORD-1119</t>
  </si>
  <si>
    <t>ORD-1508</t>
  </si>
  <si>
    <t>Apr</t>
  </si>
  <si>
    <t>ORD-1483</t>
  </si>
  <si>
    <t>ORD-1568</t>
  </si>
  <si>
    <t>ORD-1346</t>
  </si>
  <si>
    <t>ORD-1380</t>
  </si>
  <si>
    <t>ORD-1211</t>
  </si>
  <si>
    <t>ORD-1209</t>
  </si>
  <si>
    <t>ORD-1206</t>
  </si>
  <si>
    <t>ORD-1292</t>
  </si>
  <si>
    <t>ORD-1509</t>
  </si>
  <si>
    <t>ORD-1216</t>
  </si>
  <si>
    <t>ORD-1143</t>
  </si>
  <si>
    <t>ORD-1505</t>
  </si>
  <si>
    <t>ORD-1281</t>
  </si>
  <si>
    <t>ORD-1039</t>
  </si>
  <si>
    <t>ORD-1413</t>
  </si>
  <si>
    <t>ORD-1111</t>
  </si>
  <si>
    <t>ORD-1399</t>
  </si>
  <si>
    <t>ORD-1314</t>
  </si>
  <si>
    <t>ORD-1152</t>
  </si>
  <si>
    <t>ORD-1573</t>
  </si>
  <si>
    <t>ORD-1534</t>
  </si>
  <si>
    <t>ORD-1299</t>
  </si>
  <si>
    <t>ORD-1450</t>
  </si>
  <si>
    <t>ORD-1495</t>
  </si>
  <si>
    <t>ORD-1096</t>
  </si>
  <si>
    <t>ORD-1481</t>
  </si>
  <si>
    <t>ORD-1342</t>
  </si>
  <si>
    <t>ORD-1154</t>
  </si>
  <si>
    <t>ORD-1271</t>
  </si>
  <si>
    <t>ORD-1419</t>
  </si>
  <si>
    <t>ORD-1442</t>
  </si>
  <si>
    <t>ORD-1263</t>
  </si>
  <si>
    <t>ORD-1353</t>
  </si>
  <si>
    <t>ORD-1190</t>
  </si>
  <si>
    <t>ORD-1307</t>
  </si>
  <si>
    <t>ORD-1136</t>
  </si>
  <si>
    <t>ORD-1226</t>
  </si>
  <si>
    <t>ORD-1239</t>
  </si>
  <si>
    <t>ORD-1333</t>
  </si>
  <si>
    <t>ORD-1526</t>
  </si>
  <si>
    <t>ORD-1400</t>
  </si>
  <si>
    <t>ORD-1447</t>
  </si>
  <si>
    <t>ORD-1088</t>
  </si>
  <si>
    <t>ORD-1338</t>
  </si>
  <si>
    <t>ORD-1309</t>
  </si>
  <si>
    <t>ORD-1368</t>
  </si>
  <si>
    <t>ORD-1403</t>
  </si>
  <si>
    <t>ORD-1554</t>
  </si>
  <si>
    <t>ORD-1525</t>
  </si>
  <si>
    <t>ORD-1321</t>
  </si>
  <si>
    <t>ORD-1167</t>
  </si>
  <si>
    <t>ORD-1595</t>
  </si>
  <si>
    <t>ORD-1066</t>
  </si>
  <si>
    <t>ORD-1254</t>
  </si>
  <si>
    <t>May</t>
  </si>
  <si>
    <t>ORD-1077</t>
  </si>
  <si>
    <t>ORD-1487</t>
  </si>
  <si>
    <t>ORD-1294</t>
  </si>
  <si>
    <t>ORD-1371</t>
  </si>
  <si>
    <t>ORD-1169</t>
  </si>
  <si>
    <t>ORD-1199</t>
  </si>
  <si>
    <t>ORD-1197</t>
  </si>
  <si>
    <t>ORD-1139</t>
  </si>
  <si>
    <t>ORD-1268</t>
  </si>
  <si>
    <t>ORD-1044</t>
  </si>
  <si>
    <t>ORD-1521</t>
  </si>
  <si>
    <t>ORD-1301</t>
  </si>
  <si>
    <t>ORD-1194</t>
  </si>
  <si>
    <t>ORD-1053</t>
  </si>
  <si>
    <t>ORD-1201</t>
  </si>
  <si>
    <t>ORD-1063</t>
  </si>
  <si>
    <t>ORD-1393</t>
  </si>
  <si>
    <t>ORD-1332</t>
  </si>
  <si>
    <t>ORD-1068</t>
  </si>
  <si>
    <t>ORD-1022</t>
  </si>
  <si>
    <t>ORD-1374</t>
  </si>
  <si>
    <t>ORD-1576</t>
  </si>
  <si>
    <t>ORD-1498</t>
  </si>
  <si>
    <t>ORD-1379</t>
  </si>
  <si>
    <t>ORD-1188</t>
  </si>
  <si>
    <t>ORD-1094</t>
  </si>
  <si>
    <t>ORD-1552</t>
  </si>
  <si>
    <t>ORD-1440</t>
  </si>
  <si>
    <t>ORD-1027</t>
  </si>
  <si>
    <t>ORD-1585</t>
  </si>
  <si>
    <t>ORD-1164</t>
  </si>
  <si>
    <t>ORD-1163</t>
  </si>
  <si>
    <t>ORD-1144</t>
  </si>
  <si>
    <t>ORD-1065</t>
  </si>
  <si>
    <t>ORD-1373</t>
  </si>
  <si>
    <t>ORD-1496</t>
  </si>
  <si>
    <t>ORD-1572</t>
  </si>
  <si>
    <t>Jun</t>
  </si>
  <si>
    <t>ORD-1248</t>
  </si>
  <si>
    <t>ORD-1425</t>
  </si>
  <si>
    <t>ORD-1165</t>
  </si>
  <si>
    <t>ORD-1464</t>
  </si>
  <si>
    <t>ORD-1275</t>
  </si>
  <si>
    <t>ORD-1500</t>
  </si>
  <si>
    <t>ORD-1547</t>
  </si>
  <si>
    <t>ORD-1473</t>
  </si>
  <si>
    <t>ORD-1238</t>
  </si>
  <si>
    <t>ORD-1091</t>
  </si>
  <si>
    <t>ORD-1005</t>
  </si>
  <si>
    <t>ORD-1407</t>
  </si>
  <si>
    <t>ORD-1435</t>
  </si>
  <si>
    <t>ORD-1155</t>
  </si>
  <si>
    <t>ORD-1354</t>
  </si>
  <si>
    <t>ORD-1082</t>
  </si>
  <si>
    <t>ORD-1140</t>
  </si>
  <si>
    <t>ORD-1121</t>
  </si>
  <si>
    <t>ORD-1298</t>
  </si>
  <si>
    <t>ORD-1004</t>
  </si>
  <si>
    <t>ORD-1030</t>
  </si>
  <si>
    <t>ORD-1285</t>
  </si>
  <si>
    <t>ORD-1047</t>
  </si>
  <si>
    <t>ORD-1186</t>
  </si>
  <si>
    <t>ORD-1219</t>
  </si>
  <si>
    <t>ORD-1267</t>
  </si>
  <si>
    <t>ORD-1020</t>
  </si>
  <si>
    <t>ORD-1214</t>
  </si>
  <si>
    <t>ORD-1031</t>
  </si>
  <si>
    <t>ORD-1506</t>
  </si>
  <si>
    <t>ORD-1537</t>
  </si>
  <si>
    <t>ORD-1222</t>
  </si>
  <si>
    <t>ORD-1205</t>
  </si>
  <si>
    <t>ORD-1114</t>
  </si>
  <si>
    <t>ORD-1335</t>
  </si>
  <si>
    <t>ORD-1176</t>
  </si>
  <si>
    <t>ORD-1485</t>
  </si>
  <si>
    <t>ORD-1073</t>
  </si>
  <si>
    <t>ORD-1231</t>
  </si>
  <si>
    <t>ORD-1054</t>
  </si>
  <si>
    <t>ORD-1277</t>
  </si>
  <si>
    <t>ORD-1474</t>
  </si>
  <si>
    <t>ORD-1124</t>
  </si>
  <si>
    <t>ORD-1367</t>
  </si>
  <si>
    <t>ORD-1070</t>
  </si>
  <si>
    <t>ORD-1290</t>
  </si>
  <si>
    <t>ORD-1109</t>
  </si>
  <si>
    <t>ORD-1519</t>
  </si>
  <si>
    <t>ORD-1076</t>
  </si>
  <si>
    <t>ORD-1276</t>
  </si>
  <si>
    <t>ORD-1282</t>
  </si>
  <si>
    <t>ORD-1444</t>
  </si>
  <si>
    <t>ORD-1235</t>
  </si>
  <si>
    <t>ORD-1563</t>
  </si>
  <si>
    <t>ORD-1284</t>
  </si>
  <si>
    <t>ORD-1252</t>
  </si>
  <si>
    <t>ORD-1185</t>
  </si>
  <si>
    <t>ORD-1203</t>
  </si>
  <si>
    <t>ORD-1183</t>
  </si>
  <si>
    <t>Jul</t>
  </si>
  <si>
    <t>ORD-1055</t>
  </si>
  <si>
    <t>ORD-1406</t>
  </si>
  <si>
    <t>ORD-1180</t>
  </si>
  <si>
    <t>ORD-1453</t>
  </si>
  <si>
    <t>ORD-1405</t>
  </si>
  <si>
    <t>ORD-1021</t>
  </si>
  <si>
    <t>ORD-1556</t>
  </si>
  <si>
    <t>ORD-1420</t>
  </si>
  <si>
    <t>ORD-1115</t>
  </si>
  <si>
    <t>ORD-1159</t>
  </si>
  <si>
    <t>ORD-1445</t>
  </si>
  <si>
    <t>ORD-1344</t>
  </si>
  <si>
    <t>ORD-1017</t>
  </si>
  <si>
    <t>ORD-1549</t>
  </si>
  <si>
    <t>ORD-1366</t>
  </si>
  <si>
    <t>ORD-1296</t>
  </si>
  <si>
    <t>ORD-1449</t>
  </si>
  <si>
    <t>ORD-1578</t>
  </si>
  <si>
    <t>ORD-1011</t>
  </si>
  <si>
    <t>ORD-1488</t>
  </si>
  <si>
    <t>ORD-1507</t>
  </si>
  <si>
    <t>ORD-1351</t>
  </si>
  <si>
    <t>ORD-1561</t>
  </si>
  <si>
    <t>ORD-1289</t>
  </si>
  <si>
    <t>ORD-1539</t>
  </si>
  <si>
    <t>ORD-1305</t>
  </si>
  <si>
    <t>ORD-1295</t>
  </si>
  <si>
    <t>ORD-1029</t>
  </si>
  <si>
    <t>ORD-1331</t>
  </si>
  <si>
    <t>ORD-1229</t>
  </si>
  <si>
    <t>ORD-1057</t>
  </si>
  <si>
    <t>ORD-1132</t>
  </si>
  <si>
    <t>ORD-1034</t>
  </si>
  <si>
    <t>ORD-1113</t>
  </si>
  <si>
    <t>ORD-1308</t>
  </si>
  <si>
    <t>ORD-1456</t>
  </si>
  <si>
    <t>ORD-1330</t>
  </si>
  <si>
    <t>ORD-1158</t>
  </si>
  <si>
    <t>ORD-1134</t>
  </si>
  <si>
    <t>ORD-1079</t>
  </si>
  <si>
    <t>ORD-1131</t>
  </si>
  <si>
    <t>ORD-1126</t>
  </si>
  <si>
    <t>ORD-1116</t>
  </si>
  <si>
    <t>ORD-1437</t>
  </si>
  <si>
    <t>ORD-1288</t>
  </si>
  <si>
    <t>ORD-1570</t>
  </si>
  <si>
    <t>ORD-1129</t>
  </si>
  <si>
    <t>ORD-1535</t>
  </si>
  <si>
    <t>ORD-1228</t>
  </si>
  <si>
    <t>ORD-1597</t>
  </si>
  <si>
    <t>ORD-1266</t>
  </si>
  <si>
    <t>Aug</t>
  </si>
  <si>
    <t>ORD-1424</t>
  </si>
  <si>
    <t>ORD-1242</t>
  </si>
  <si>
    <t>ORD-1260</t>
  </si>
  <si>
    <t>ORD-1270</t>
  </si>
  <si>
    <t>ORD-1548</t>
  </si>
  <si>
    <t>ORD-1520</t>
  </si>
  <si>
    <t>ORD-1455</t>
  </si>
  <si>
    <t>ORD-1468</t>
  </si>
  <si>
    <t>ORD-1394</t>
  </si>
  <si>
    <t>ORD-1531</t>
  </si>
  <si>
    <t>ORD-1137</t>
  </si>
  <si>
    <t>ORD-1494</t>
  </si>
  <si>
    <t>ORD-1193</t>
  </si>
  <si>
    <t>ORD-1490</t>
  </si>
  <si>
    <t>ORD-1269</t>
  </si>
  <si>
    <t>ORD-1323</t>
  </si>
  <si>
    <t>ORD-1343</t>
  </si>
  <si>
    <t>ORD-1240</t>
  </si>
  <si>
    <t>ORD-1245</t>
  </si>
  <si>
    <t>ORD-1085</t>
  </si>
  <si>
    <t>ORD-1599</t>
  </si>
  <si>
    <t>ORD-1192</t>
  </si>
  <si>
    <t>ORD-1040</t>
  </si>
  <si>
    <t>ORD-1458</t>
  </si>
  <si>
    <t>ORD-1130</t>
  </si>
  <si>
    <t>ORD-1475</t>
  </si>
  <si>
    <t>ORD-1341</t>
  </si>
  <si>
    <t>ORD-1099</t>
  </si>
  <si>
    <t>ORD-1600</t>
  </si>
  <si>
    <t>ORD-1569</t>
  </si>
  <si>
    <t>ORD-1026</t>
  </si>
  <si>
    <t>ORD-1502</t>
  </si>
  <si>
    <t>ORD-1244</t>
  </si>
  <si>
    <t>ORD-1123</t>
  </si>
  <si>
    <t>ORD-1003</t>
  </si>
  <si>
    <t>ORD-1316</t>
  </si>
  <si>
    <t>ORD-1255</t>
  </si>
  <si>
    <t>ORD-1372</t>
  </si>
  <si>
    <t>ORD-1446</t>
  </si>
  <si>
    <t>ORD-1156</t>
  </si>
  <si>
    <t>ORD-1237</t>
  </si>
  <si>
    <t>ORD-1108</t>
  </si>
  <si>
    <t>ORD-1162</t>
  </si>
  <si>
    <t>ORD-1479</t>
  </si>
  <si>
    <t>ORD-1122</t>
  </si>
  <si>
    <t>Sep</t>
  </si>
  <si>
    <t>ORD-1311</t>
  </si>
  <si>
    <t>ORD-1283</t>
  </si>
  <si>
    <t>ORD-1080</t>
  </si>
  <si>
    <t>ORD-1312</t>
  </si>
  <si>
    <t>ORD-1049</t>
  </si>
  <si>
    <t>ORD-1416</t>
  </si>
  <si>
    <t>ORD-1257</t>
  </si>
  <si>
    <t>ORD-1550</t>
  </si>
  <si>
    <t>ORD-1060</t>
  </si>
  <si>
    <t>ORD-1098</t>
  </si>
  <si>
    <t>ORD-1191</t>
  </si>
  <si>
    <t>ORD-1075</t>
  </si>
  <si>
    <t>ORD-1587</t>
  </si>
  <si>
    <t>ORD-1422</t>
  </si>
  <si>
    <t>ORD-1184</t>
  </si>
  <si>
    <t>ORD-1008</t>
  </si>
  <si>
    <t>ORD-1175</t>
  </si>
  <si>
    <t>ORD-1204</t>
  </si>
  <si>
    <t>ORD-1086</t>
  </si>
  <si>
    <t>ORD-1043</t>
  </si>
  <si>
    <t>ORD-1223</t>
  </si>
  <si>
    <t>ORD-1110</t>
  </si>
  <si>
    <t>ORD-1541</t>
  </si>
  <si>
    <t>ORD-1015</t>
  </si>
  <si>
    <t>ORD-1212</t>
  </si>
  <si>
    <t>ORD-1177</t>
  </si>
  <si>
    <t>ORD-1430</t>
  </si>
  <si>
    <t>ORD-1395</t>
  </si>
  <si>
    <t>ORD-1236</t>
  </si>
  <si>
    <t>ORD-1174</t>
  </si>
  <si>
    <t>ORD-1225</t>
  </si>
  <si>
    <t>ORD-1461</t>
  </si>
  <si>
    <t>ORD-1318</t>
  </si>
  <si>
    <t>ORD-1317</t>
  </si>
  <si>
    <t>ORD-1377</t>
  </si>
  <si>
    <t>ORD-1013</t>
  </si>
  <si>
    <t>ORD-1215</t>
  </si>
  <si>
    <t>ORD-1557</t>
  </si>
  <si>
    <t>ORD-1471</t>
  </si>
  <si>
    <t>ORD-1432</t>
  </si>
  <si>
    <t>ORD-1059</t>
  </si>
  <si>
    <t>ORD-1062</t>
  </si>
  <si>
    <t>ORD-1512</t>
  </si>
  <si>
    <t>ORD-1378</t>
  </si>
  <si>
    <t>ORD-1391</t>
  </si>
  <si>
    <t>ORD-1360</t>
  </si>
  <si>
    <t>Oct</t>
  </si>
  <si>
    <t>ORD-1463</t>
  </si>
  <si>
    <t>ORD-1493</t>
  </si>
  <si>
    <t>ORD-1234</t>
  </si>
  <si>
    <t>ORD-1042</t>
  </si>
  <si>
    <t>ORD-1247</t>
  </si>
  <si>
    <t>ORD-1051</t>
  </si>
  <si>
    <t>ORD-1014</t>
  </si>
  <si>
    <t>ORD-1207</t>
  </si>
  <si>
    <t>ORD-1128</t>
  </si>
  <si>
    <t>ORD-1489</t>
  </si>
  <si>
    <t>ORD-1423</t>
  </si>
  <si>
    <t>ORD-1089</t>
  </si>
  <si>
    <t>ORD-1320</t>
  </si>
  <si>
    <t>ORD-1370</t>
  </si>
  <si>
    <t>ORD-1173</t>
  </si>
  <si>
    <t>ORD-1002</t>
  </si>
  <si>
    <t>ORD-1402</t>
  </si>
  <si>
    <t>ORD-1112</t>
  </si>
  <si>
    <t>ORD-1107</t>
  </si>
  <si>
    <t>ORD-1210</t>
  </si>
  <si>
    <t>ORD-1598</t>
  </si>
  <si>
    <t>ORD-1050</t>
  </si>
  <si>
    <t>ORD-1025</t>
  </si>
  <si>
    <t>ORD-1278</t>
  </si>
  <si>
    <t>ORD-1476</t>
  </si>
  <si>
    <t>ORD-1016</t>
  </si>
  <si>
    <t>ORD-1160</t>
  </si>
  <si>
    <t>ORD-1249</t>
  </si>
  <si>
    <t>ORD-1106</t>
  </si>
  <si>
    <t>ORD-1213</t>
  </si>
  <si>
    <t>ORD-1559</t>
  </si>
  <si>
    <t>ORD-1261</t>
  </si>
  <si>
    <t>ORD-1135</t>
  </si>
  <si>
    <t>ORD-1484</t>
  </si>
  <si>
    <t>ORD-1071</t>
  </si>
  <si>
    <t>ORD-1105</t>
  </si>
  <si>
    <t>ORD-1591</t>
  </si>
  <si>
    <t>ORD-1596</t>
  </si>
  <si>
    <t>ORD-1428</t>
  </si>
  <si>
    <t>ORD-1092</t>
  </si>
  <si>
    <t>ORD-1551</t>
  </si>
  <si>
    <t>ORD-1472</t>
  </si>
  <si>
    <t>ORD-1103</t>
  </si>
  <si>
    <t>ORD-1291</t>
  </si>
  <si>
    <t>ORD-1227</t>
  </si>
  <si>
    <t>ORD-1336</t>
  </si>
  <si>
    <t>ORD-1166</t>
  </si>
  <si>
    <t>ORD-1514</t>
  </si>
  <si>
    <t>ORD-1149</t>
  </si>
  <si>
    <t>ORD-1028</t>
  </si>
  <si>
    <t>ORD-1524</t>
  </si>
  <si>
    <t>ORD-1302</t>
  </si>
  <si>
    <t>ORD-1433</t>
  </si>
  <si>
    <t>ORD-1482</t>
  </si>
  <si>
    <t>ORD-1334</t>
  </si>
  <si>
    <t>ORD-1553</t>
  </si>
  <si>
    <t>ORD-1038</t>
  </si>
  <si>
    <t>ORD-1388</t>
  </si>
  <si>
    <t>ORD-1101</t>
  </si>
  <si>
    <t>ORD-1084</t>
  </si>
  <si>
    <t>ORD-1090</t>
  </si>
  <si>
    <t>ORD-1545</t>
  </si>
  <si>
    <t>ORD-1582</t>
  </si>
  <si>
    <t>Nov</t>
  </si>
  <si>
    <t>ORD-1589</t>
  </si>
  <si>
    <t>ORD-1513</t>
  </si>
  <si>
    <t>ORD-1019</t>
  </si>
  <si>
    <t>ORD-1459</t>
  </si>
  <si>
    <t>ORD-1590</t>
  </si>
  <si>
    <t>ORD-1093</t>
  </si>
  <si>
    <t>ORD-1361</t>
  </si>
  <si>
    <t>ORD-1477</t>
  </si>
  <si>
    <t>ORD-1297</t>
  </si>
  <si>
    <t>ORD-1560</t>
  </si>
  <si>
    <t>ORD-1146</t>
  </si>
  <si>
    <t>ORD-1151</t>
  </si>
  <si>
    <t>ORD-1125</t>
  </si>
  <si>
    <t>ORD-1232</t>
  </si>
  <si>
    <t>ORD-1037</t>
  </si>
  <si>
    <t>ORD-1006</t>
  </si>
  <si>
    <t>ORD-1427</t>
  </si>
  <si>
    <t>ORD-1504</t>
  </si>
  <si>
    <t>ORD-1492</t>
  </si>
  <si>
    <t>ORD-1396</t>
  </si>
  <si>
    <t>ORD-1558</t>
  </si>
  <si>
    <t>ORD-1517</t>
  </si>
  <si>
    <t>ORD-1375</t>
  </si>
  <si>
    <t>ORD-1035</t>
  </si>
  <si>
    <t>ORD-1565</t>
  </si>
  <si>
    <t>ORD-1048</t>
  </si>
  <si>
    <t>ORD-1358</t>
  </si>
  <si>
    <t>ORD-1362</t>
  </si>
  <si>
    <t>ORD-1389</t>
  </si>
  <si>
    <t>ORD-1579</t>
  </si>
  <si>
    <t>ORD-1364</t>
  </si>
  <si>
    <t>ORD-1095</t>
  </si>
  <si>
    <t>ORD-1304</t>
  </si>
  <si>
    <t>ORD-1179</t>
  </si>
  <si>
    <t>ORD-1592</t>
  </si>
  <si>
    <t>ORD-1220</t>
  </si>
  <si>
    <t>ORD-1067</t>
  </si>
  <si>
    <t>ORD-1345</t>
  </si>
  <si>
    <t>ORD-1202</t>
  </si>
  <si>
    <t>ORD-1529</t>
  </si>
  <si>
    <t>Dec</t>
  </si>
  <si>
    <t>ORD-1153</t>
  </si>
  <si>
    <t>ORD-1324</t>
  </si>
  <si>
    <t>ORD-1530</t>
  </si>
  <si>
    <t>ORD-1061</t>
  </si>
  <si>
    <t>ORD-1586</t>
  </si>
  <si>
    <t>ORD-1577</t>
  </si>
  <si>
    <t>ORD-1264</t>
  </si>
  <si>
    <t>ORD-1452</t>
  </si>
  <si>
    <t>ORD-1527</t>
  </si>
  <si>
    <t>ORD-1438</t>
  </si>
  <si>
    <t>ORD-1499</t>
  </si>
  <si>
    <t>ORD-1024</t>
  </si>
  <si>
    <t>ORD-1421</t>
  </si>
  <si>
    <t>ORD-1470</t>
  </si>
  <si>
    <t>ORD-1491</t>
  </si>
  <si>
    <t>ORD-1382</t>
  </si>
  <si>
    <t>ORD-1409</t>
  </si>
  <si>
    <t>ORD-1348</t>
  </si>
  <si>
    <t>ORD-1319</t>
  </si>
  <si>
    <t>ORD-1286</t>
  </si>
  <si>
    <t>ORD-1181</t>
  </si>
  <si>
    <t>ORD-1081</t>
  </si>
  <si>
    <t>ORD-1383</t>
  </si>
  <si>
    <t>ORD-1571</t>
  </si>
  <si>
    <t>ORD-1340</t>
  </si>
  <si>
    <t>ORD-1448</t>
  </si>
  <si>
    <t>ORD-1293</t>
  </si>
  <si>
    <t>ORD-1274</t>
  </si>
  <si>
    <t>ORD-1195</t>
  </si>
  <si>
    <t>ORD-1515</t>
  </si>
  <si>
    <t>ORD-1451</t>
  </si>
  <si>
    <t>ORD-1337</t>
  </si>
  <si>
    <t>ORD-1503</t>
  </si>
  <si>
    <t>ORD-1200</t>
  </si>
  <si>
    <t>ORD-1466</t>
  </si>
  <si>
    <t>ORD-1417</t>
  </si>
  <si>
    <t>ORD-1064</t>
  </si>
  <si>
    <t>ORD-1208</t>
  </si>
  <si>
    <t>ORD-1355</t>
  </si>
  <si>
    <t>ORD-1404</t>
  </si>
  <si>
    <t>ORD-1046</t>
  </si>
  <si>
    <t>ORD-1325</t>
  </si>
  <si>
    <t>ORD-1441</t>
  </si>
  <si>
    <t>ORD-1012</t>
  </si>
  <si>
    <t>ORD-1594</t>
  </si>
  <si>
    <t>ORD-1141</t>
  </si>
  <si>
    <t>ORD-1555</t>
  </si>
  <si>
    <t>ORD-1265</t>
  </si>
  <si>
    <t>ORD-1347</t>
  </si>
  <si>
    <t>ORD-1145</t>
  </si>
  <si>
    <t>ORD-1356</t>
  </si>
  <si>
    <t>ORD-1511</t>
  </si>
  <si>
    <t>ORD-1161</t>
  </si>
  <si>
    <t>ORD-1401</t>
  </si>
  <si>
    <t>SALES PERFORMANCE SUMMARY</t>
  </si>
  <si>
    <t>Metric</t>
  </si>
  <si>
    <t>Value</t>
  </si>
  <si>
    <t>Interpretation</t>
  </si>
  <si>
    <t>Total Sales</t>
  </si>
  <si>
    <t>Revenue after discount</t>
  </si>
  <si>
    <t>Total Profit</t>
  </si>
  <si>
    <t>Sales minus estimated cost</t>
  </si>
  <si>
    <t>Order Records</t>
  </si>
  <si>
    <t>Number of records</t>
  </si>
  <si>
    <t>Units Sold</t>
  </si>
  <si>
    <t>Total quantity</t>
  </si>
  <si>
    <t>Profit Margin</t>
  </si>
  <si>
    <t>Profit divided by sales</t>
  </si>
  <si>
    <t>Average Sales per Order</t>
  </si>
  <si>
    <t>Average per record</t>
  </si>
  <si>
    <t>Orders</t>
  </si>
  <si>
    <t>TASK</t>
  </si>
  <si>
    <t>WHAT TO DO</t>
  </si>
  <si>
    <t>OUTPUT</t>
  </si>
  <si>
    <t>Data quality</t>
  </si>
  <si>
    <t>Check blanks, duplicate Order_IDs, date range and numeric columns.</t>
  </si>
  <si>
    <t>Document issues.</t>
  </si>
  <si>
    <t>KPI review</t>
  </si>
  <si>
    <t>Review sales, profit, units, order count and margin.</t>
  </si>
  <si>
    <t>Explain each KPI.</t>
  </si>
  <si>
    <t>Compare sales and profit by category.</t>
  </si>
  <si>
    <t>Find category leaders.</t>
  </si>
  <si>
    <t>Compare sales and profit across regions.</t>
  </si>
  <si>
    <t>Explain differences.</t>
  </si>
  <si>
    <t>Monthly trend</t>
  </si>
  <si>
    <t>Explain monthly peaks and dips.</t>
  </si>
  <si>
    <t>Use line chart; mention synthetic data.</t>
  </si>
  <si>
    <t>Product analysis</t>
  </si>
  <si>
    <t>Create PivotTable: Product in Rows; Sales and Profit in Values.</t>
  </si>
  <si>
    <t>Identify top five products.</t>
  </si>
  <si>
    <t>Recommendations</t>
  </si>
  <si>
    <t>Write three recommendations supported by verified numbers.</t>
  </si>
  <si>
    <t>Business communication.</t>
  </si>
  <si>
    <t>Portfolio</t>
  </si>
  <si>
    <t>Add workbook screenshots and verified findings to README.</t>
  </si>
  <si>
    <t>GitHub polish.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</si>
</sst>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3" fillId="4" borderId="0" xfId="0" applyFont="1" applyFill="1"/>
    <xf numFmtId="0" fontId="5" fillId="0" borderId="0" xfId="0" applyFont="1"/>
    <xf numFmtId="3" fontId="0" fillId="0" borderId="0" xfId="0" applyNumberFormat="1"/>
    <xf numFmtId="167" fontId="0" fillId="0" borderId="0" xfId="0" applyNumberFormat="1"/>
    <xf numFmtId="0" fontId="1" fillId="2" borderId="0" xfId="0" applyFont="1" applyFill="1"/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Summary!$A$11:$A$13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Summary!$B$11:$B$13</c:f>
              <c:numCache>
                <c:formatCode>\₹#,##0.00</c:formatCode>
                <c:ptCount val="3"/>
                <c:pt idx="0">
                  <c:v>163270.82</c:v>
                </c:pt>
                <c:pt idx="1">
                  <c:v>129150.13999999998</c:v>
                </c:pt>
                <c:pt idx="2">
                  <c:v>14183.74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B-4690-B69E-493A0EE69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Summary!$B$23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Summary!$B$24:$B$35</c:f>
              <c:numCache>
                <c:formatCode>\₹#,##0.00</c:formatCode>
                <c:ptCount val="12"/>
                <c:pt idx="0">
                  <c:v>25464.579999999998</c:v>
                </c:pt>
                <c:pt idx="1">
                  <c:v>35226.06</c:v>
                </c:pt>
                <c:pt idx="2">
                  <c:v>25106.02</c:v>
                </c:pt>
                <c:pt idx="3">
                  <c:v>22486.240000000002</c:v>
                </c:pt>
                <c:pt idx="4">
                  <c:v>18704.600000000002</c:v>
                </c:pt>
                <c:pt idx="5">
                  <c:v>16812.96</c:v>
                </c:pt>
                <c:pt idx="6">
                  <c:v>32092.440000000002</c:v>
                </c:pt>
                <c:pt idx="7">
                  <c:v>34109.599999999999</c:v>
                </c:pt>
                <c:pt idx="8">
                  <c:v>20780.260000000006</c:v>
                </c:pt>
                <c:pt idx="9">
                  <c:v>28555.530000000002</c:v>
                </c:pt>
                <c:pt idx="10">
                  <c:v>27132.579999999998</c:v>
                </c:pt>
                <c:pt idx="11">
                  <c:v>20133.830000000002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05-4283-B84B-86913DCA6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Summary!$A$17:$A$20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Summary!$B$17:$B$20</c:f>
              <c:numCache>
                <c:formatCode>\₹#,##0.00</c:formatCode>
                <c:ptCount val="4"/>
                <c:pt idx="0">
                  <c:v>71424.03</c:v>
                </c:pt>
                <c:pt idx="1">
                  <c:v>90898.010000000068</c:v>
                </c:pt>
                <c:pt idx="2">
                  <c:v>61232.590000000018</c:v>
                </c:pt>
                <c:pt idx="3">
                  <c:v>83050.069999999963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E-4ADA-A4AA-FB7EDC3D8532}"/>
            </c:ext>
          </c:extLst>
        </c:ser>
        <c:ser>
          <c:idx val="1"/>
          <c:order val="1"/>
          <c:tx>
            <c:strRef>
              <c:f>Summary!$C$16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Summary!$A$17:$A$20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Summary!$C$17:$C$20</c:f>
              <c:numCache>
                <c:formatCode>\₹#,##0.00</c:formatCode>
                <c:ptCount val="4"/>
                <c:pt idx="0">
                  <c:v>18923.669999999991</c:v>
                </c:pt>
                <c:pt idx="1">
                  <c:v>25329.840000000004</c:v>
                </c:pt>
                <c:pt idx="2">
                  <c:v>16160.790000000008</c:v>
                </c:pt>
                <c:pt idx="3">
                  <c:v>24779.659999999996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E-4ADA-A4AA-FB7EDC3D85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8124256"/>
        <c:axId val="1632500080"/>
      </c:barChart>
      <c:catAx>
        <c:axId val="17281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00080"/>
        <c:crosses val="autoZero"/>
        <c:auto val="1"/>
        <c:lblAlgn val="ctr"/>
        <c:lblOffset val="100"/>
        <c:noMultiLvlLbl val="0"/>
      </c:catAx>
      <c:valAx>
        <c:axId val="16325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2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</xdr:colOff>
      <xdr:row>2</xdr:row>
      <xdr:rowOff>7620</xdr:rowOff>
    </xdr:from>
    <xdr:ext cx="432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5040000" cy="29184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196413</xdr:colOff>
      <xdr:row>0</xdr:row>
      <xdr:rowOff>181402</xdr:rowOff>
    </xdr:from>
    <xdr:to>
      <xdr:col>18</xdr:col>
      <xdr:colOff>491884</xdr:colOff>
      <xdr:row>15</xdr:row>
      <xdr:rowOff>96734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628138-D54B-D211-5E42-8E833CEF8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M601">
  <autoFilter ref="A1:M601" xr:uid="{00000000-0009-0000-0100-000001000000}"/>
  <tableColumns count="13">
    <tableColumn id="1" xr3:uid="{00000000-0010-0000-0000-000001000000}" name="Order_ID"/>
    <tableColumn id="2" xr3:uid="{00000000-0010-0000-0000-000002000000}" name="Order_Date"/>
    <tableColumn id="3" xr3:uid="{00000000-0010-0000-0000-000003000000}" name="Region"/>
    <tableColumn id="4" xr3:uid="{00000000-0010-0000-0000-000004000000}" name="Category"/>
    <tableColumn id="5" xr3:uid="{00000000-0010-0000-0000-000005000000}" name="Product"/>
    <tableColumn id="6" xr3:uid="{00000000-0010-0000-0000-000006000000}" name="Quantity"/>
    <tableColumn id="7" xr3:uid="{00000000-0010-0000-0000-000007000000}" name="Unit_Price"/>
    <tableColumn id="8" xr3:uid="{00000000-0010-0000-0000-000008000000}" name="Discount"/>
    <tableColumn id="9" xr3:uid="{00000000-0010-0000-0000-000009000000}" name="Sales"/>
    <tableColumn id="10" xr3:uid="{00000000-0010-0000-0000-00000A000000}" name="Cost"/>
    <tableColumn id="11" xr3:uid="{00000000-0010-0000-0000-00000B000000}" name="Profit"/>
    <tableColumn id="12" xr3:uid="{00000000-0010-0000-0000-00000C000000}" name="Customer_Segment"/>
    <tableColumn id="13" xr3:uid="{00000000-0010-0000-0000-00000D000000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10" sqref="A10"/>
    </sheetView>
  </sheetViews>
  <sheetFormatPr defaultRowHeight="14.4" x14ac:dyDescent="0.3"/>
  <cols>
    <col min="1" max="1" width="23" customWidth="1"/>
    <col min="2" max="2" width="100" customWidth="1"/>
  </cols>
  <sheetData>
    <row r="1" spans="1:2" ht="23.4" x14ac:dyDescent="0.45">
      <c r="A1" s="11" t="s">
        <v>0</v>
      </c>
      <c r="B1" s="12"/>
    </row>
    <row r="2" spans="1:2" ht="36" customHeight="1" x14ac:dyDescent="0.3">
      <c r="A2" s="1" t="s">
        <v>1</v>
      </c>
      <c r="B2" s="2" t="s">
        <v>2</v>
      </c>
    </row>
    <row r="3" spans="1:2" ht="36" customHeight="1" x14ac:dyDescent="0.3">
      <c r="A3" s="1" t="s">
        <v>3</v>
      </c>
      <c r="B3" s="2" t="s">
        <v>4</v>
      </c>
    </row>
    <row r="4" spans="1:2" ht="36" customHeight="1" x14ac:dyDescent="0.3">
      <c r="A4" s="1" t="s">
        <v>5</v>
      </c>
      <c r="B4" s="2" t="s">
        <v>6</v>
      </c>
    </row>
    <row r="5" spans="1:2" ht="36" customHeight="1" x14ac:dyDescent="0.3">
      <c r="A5" s="1" t="s">
        <v>7</v>
      </c>
      <c r="B5" s="2" t="s">
        <v>8</v>
      </c>
    </row>
    <row r="6" spans="1:2" ht="36" customHeight="1" x14ac:dyDescent="0.3">
      <c r="A6" s="1" t="s">
        <v>9</v>
      </c>
      <c r="B6" s="2" t="s">
        <v>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13" customWidth="1"/>
    <col min="12" max="12" width="19" customWidth="1"/>
    <col min="13" max="13" width="13" customWidth="1"/>
  </cols>
  <sheetData>
    <row r="1" spans="1:13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x14ac:dyDescent="0.3">
      <c r="A2" t="s">
        <v>24</v>
      </c>
      <c r="B2" s="4">
        <v>45659</v>
      </c>
      <c r="C2" t="s">
        <v>25</v>
      </c>
      <c r="D2" t="s">
        <v>26</v>
      </c>
      <c r="E2" t="s">
        <v>27</v>
      </c>
      <c r="F2">
        <v>6</v>
      </c>
      <c r="G2" s="5">
        <v>8.73</v>
      </c>
      <c r="H2" s="6">
        <v>0.05</v>
      </c>
      <c r="I2" s="5">
        <v>49.76</v>
      </c>
      <c r="J2" s="5">
        <v>37.82</v>
      </c>
      <c r="K2" s="5">
        <v>11.94</v>
      </c>
      <c r="L2" t="s">
        <v>28</v>
      </c>
      <c r="M2" t="s">
        <v>29</v>
      </c>
    </row>
    <row r="3" spans="1:13" x14ac:dyDescent="0.3">
      <c r="A3" t="s">
        <v>30</v>
      </c>
      <c r="B3" s="4">
        <v>45660</v>
      </c>
      <c r="C3" t="s">
        <v>31</v>
      </c>
      <c r="D3" t="s">
        <v>26</v>
      </c>
      <c r="E3" t="s">
        <v>32</v>
      </c>
      <c r="F3">
        <v>4</v>
      </c>
      <c r="G3" s="5">
        <v>15.76</v>
      </c>
      <c r="H3" s="6">
        <v>0.15</v>
      </c>
      <c r="I3" s="5">
        <v>53.58</v>
      </c>
      <c r="J3" s="5">
        <v>37.090000000000003</v>
      </c>
      <c r="K3" s="5">
        <v>16.489999999999998</v>
      </c>
      <c r="L3" t="s">
        <v>33</v>
      </c>
      <c r="M3" t="s">
        <v>29</v>
      </c>
    </row>
    <row r="4" spans="1:13" x14ac:dyDescent="0.3">
      <c r="A4" t="s">
        <v>34</v>
      </c>
      <c r="B4" s="4">
        <v>45660</v>
      </c>
      <c r="C4" t="s">
        <v>31</v>
      </c>
      <c r="D4" t="s">
        <v>35</v>
      </c>
      <c r="E4" t="s">
        <v>36</v>
      </c>
      <c r="F4">
        <v>2</v>
      </c>
      <c r="G4" s="5">
        <v>159.71</v>
      </c>
      <c r="H4" s="6">
        <v>0.15</v>
      </c>
      <c r="I4" s="5">
        <v>271.51</v>
      </c>
      <c r="J4" s="5">
        <v>258.11</v>
      </c>
      <c r="K4" s="5">
        <v>13.4</v>
      </c>
      <c r="L4" t="s">
        <v>37</v>
      </c>
      <c r="M4" t="s">
        <v>29</v>
      </c>
    </row>
    <row r="5" spans="1:13" x14ac:dyDescent="0.3">
      <c r="A5" t="s">
        <v>38</v>
      </c>
      <c r="B5" s="4">
        <v>45660</v>
      </c>
      <c r="C5" t="s">
        <v>39</v>
      </c>
      <c r="D5" t="s">
        <v>35</v>
      </c>
      <c r="E5" t="s">
        <v>40</v>
      </c>
      <c r="F5">
        <v>1</v>
      </c>
      <c r="G5" s="5">
        <v>202.68</v>
      </c>
      <c r="H5" s="6">
        <v>0.05</v>
      </c>
      <c r="I5" s="5">
        <v>192.55</v>
      </c>
      <c r="J5" s="5">
        <v>149.19999999999999</v>
      </c>
      <c r="K5" s="5">
        <v>43.35</v>
      </c>
      <c r="L5" t="s">
        <v>33</v>
      </c>
      <c r="M5" t="s">
        <v>29</v>
      </c>
    </row>
    <row r="6" spans="1:13" x14ac:dyDescent="0.3">
      <c r="A6" t="s">
        <v>41</v>
      </c>
      <c r="B6" s="4">
        <v>45661</v>
      </c>
      <c r="C6" t="s">
        <v>31</v>
      </c>
      <c r="D6" t="s">
        <v>42</v>
      </c>
      <c r="E6" t="s">
        <v>43</v>
      </c>
      <c r="F6">
        <v>1</v>
      </c>
      <c r="G6" s="5">
        <v>120.74</v>
      </c>
      <c r="H6" s="6">
        <v>0.1</v>
      </c>
      <c r="I6" s="5">
        <v>108.67</v>
      </c>
      <c r="J6" s="5">
        <v>89.83</v>
      </c>
      <c r="K6" s="5">
        <v>18.84</v>
      </c>
      <c r="L6" t="s">
        <v>28</v>
      </c>
      <c r="M6" t="s">
        <v>29</v>
      </c>
    </row>
    <row r="7" spans="1:13" x14ac:dyDescent="0.3">
      <c r="A7" t="s">
        <v>44</v>
      </c>
      <c r="B7" s="4">
        <v>45663</v>
      </c>
      <c r="C7" t="s">
        <v>25</v>
      </c>
      <c r="D7" t="s">
        <v>35</v>
      </c>
      <c r="E7" t="s">
        <v>45</v>
      </c>
      <c r="F7">
        <v>2</v>
      </c>
      <c r="G7" s="5">
        <v>487.07</v>
      </c>
      <c r="H7" s="6">
        <v>0.05</v>
      </c>
      <c r="I7" s="5">
        <v>925.43</v>
      </c>
      <c r="J7" s="5">
        <v>725.59</v>
      </c>
      <c r="K7" s="5">
        <v>199.84</v>
      </c>
      <c r="L7" t="s">
        <v>33</v>
      </c>
      <c r="M7" t="s">
        <v>29</v>
      </c>
    </row>
    <row r="8" spans="1:13" x14ac:dyDescent="0.3">
      <c r="A8" t="s">
        <v>46</v>
      </c>
      <c r="B8" s="4">
        <v>45664</v>
      </c>
      <c r="C8" t="s">
        <v>31</v>
      </c>
      <c r="D8" t="s">
        <v>35</v>
      </c>
      <c r="E8" t="s">
        <v>47</v>
      </c>
      <c r="F8">
        <v>2</v>
      </c>
      <c r="G8" s="5">
        <v>327.63</v>
      </c>
      <c r="H8" s="6">
        <v>0.05</v>
      </c>
      <c r="I8" s="5">
        <v>622.5</v>
      </c>
      <c r="J8" s="5">
        <v>347.2</v>
      </c>
      <c r="K8" s="5">
        <v>275.3</v>
      </c>
      <c r="L8" t="s">
        <v>37</v>
      </c>
      <c r="M8" t="s">
        <v>29</v>
      </c>
    </row>
    <row r="9" spans="1:13" x14ac:dyDescent="0.3">
      <c r="A9" t="s">
        <v>48</v>
      </c>
      <c r="B9" s="4">
        <v>45664</v>
      </c>
      <c r="C9" t="s">
        <v>25</v>
      </c>
      <c r="D9" t="s">
        <v>35</v>
      </c>
      <c r="E9" t="s">
        <v>40</v>
      </c>
      <c r="F9">
        <v>8</v>
      </c>
      <c r="G9" s="5">
        <v>187.22</v>
      </c>
      <c r="H9" s="6">
        <v>0.05</v>
      </c>
      <c r="I9" s="5">
        <v>1422.87</v>
      </c>
      <c r="J9" s="5">
        <v>962.93</v>
      </c>
      <c r="K9" s="5">
        <v>459.94</v>
      </c>
      <c r="L9" t="s">
        <v>37</v>
      </c>
      <c r="M9" t="s">
        <v>29</v>
      </c>
    </row>
    <row r="10" spans="1:13" x14ac:dyDescent="0.3">
      <c r="A10" t="s">
        <v>49</v>
      </c>
      <c r="B10" s="4">
        <v>45665</v>
      </c>
      <c r="C10" t="s">
        <v>25</v>
      </c>
      <c r="D10" t="s">
        <v>35</v>
      </c>
      <c r="E10" t="s">
        <v>45</v>
      </c>
      <c r="F10">
        <v>1</v>
      </c>
      <c r="G10" s="5">
        <v>203.01</v>
      </c>
      <c r="H10" s="6">
        <v>0</v>
      </c>
      <c r="I10" s="5">
        <v>203.01</v>
      </c>
      <c r="J10" s="5">
        <v>123.47</v>
      </c>
      <c r="K10" s="5">
        <v>79.540000000000006</v>
      </c>
      <c r="L10" t="s">
        <v>33</v>
      </c>
      <c r="M10" t="s">
        <v>29</v>
      </c>
    </row>
    <row r="11" spans="1:13" x14ac:dyDescent="0.3">
      <c r="A11" t="s">
        <v>50</v>
      </c>
      <c r="B11" s="4">
        <v>45665</v>
      </c>
      <c r="C11" t="s">
        <v>51</v>
      </c>
      <c r="D11" t="s">
        <v>35</v>
      </c>
      <c r="E11" t="s">
        <v>47</v>
      </c>
      <c r="F11">
        <v>4</v>
      </c>
      <c r="G11" s="5">
        <v>143.03</v>
      </c>
      <c r="H11" s="6">
        <v>0</v>
      </c>
      <c r="I11" s="5">
        <v>572.12</v>
      </c>
      <c r="J11" s="5">
        <v>405.11</v>
      </c>
      <c r="K11" s="5">
        <v>167.01</v>
      </c>
      <c r="L11" t="s">
        <v>28</v>
      </c>
      <c r="M11" t="s">
        <v>29</v>
      </c>
    </row>
    <row r="12" spans="1:13" x14ac:dyDescent="0.3">
      <c r="A12" t="s">
        <v>52</v>
      </c>
      <c r="B12" s="4">
        <v>45665</v>
      </c>
      <c r="C12" t="s">
        <v>25</v>
      </c>
      <c r="D12" t="s">
        <v>26</v>
      </c>
      <c r="E12" t="s">
        <v>53</v>
      </c>
      <c r="F12">
        <v>7</v>
      </c>
      <c r="G12" s="5">
        <v>18.12</v>
      </c>
      <c r="H12" s="6">
        <v>0.1</v>
      </c>
      <c r="I12" s="5">
        <v>114.16</v>
      </c>
      <c r="J12" s="5">
        <v>73.180000000000007</v>
      </c>
      <c r="K12" s="5">
        <v>40.98</v>
      </c>
      <c r="L12" t="s">
        <v>33</v>
      </c>
      <c r="M12" t="s">
        <v>29</v>
      </c>
    </row>
    <row r="13" spans="1:13" x14ac:dyDescent="0.3">
      <c r="A13" t="s">
        <v>54</v>
      </c>
      <c r="B13" s="4">
        <v>45666</v>
      </c>
      <c r="C13" t="s">
        <v>51</v>
      </c>
      <c r="D13" t="s">
        <v>26</v>
      </c>
      <c r="E13" t="s">
        <v>27</v>
      </c>
      <c r="F13">
        <v>4</v>
      </c>
      <c r="G13" s="5">
        <v>19.3</v>
      </c>
      <c r="H13" s="6">
        <v>0</v>
      </c>
      <c r="I13" s="5">
        <v>77.2</v>
      </c>
      <c r="J13" s="5">
        <v>57.28</v>
      </c>
      <c r="K13" s="5">
        <v>19.920000000000002</v>
      </c>
      <c r="L13" t="s">
        <v>37</v>
      </c>
      <c r="M13" t="s">
        <v>29</v>
      </c>
    </row>
    <row r="14" spans="1:13" x14ac:dyDescent="0.3">
      <c r="A14" t="s">
        <v>55</v>
      </c>
      <c r="B14" s="4">
        <v>45666</v>
      </c>
      <c r="C14" t="s">
        <v>31</v>
      </c>
      <c r="D14" t="s">
        <v>42</v>
      </c>
      <c r="E14" t="s">
        <v>43</v>
      </c>
      <c r="F14">
        <v>7</v>
      </c>
      <c r="G14" s="5">
        <v>55.69</v>
      </c>
      <c r="H14" s="6">
        <v>0.1</v>
      </c>
      <c r="I14" s="5">
        <v>350.85</v>
      </c>
      <c r="J14" s="5">
        <v>214.05</v>
      </c>
      <c r="K14" s="5">
        <v>136.80000000000001</v>
      </c>
      <c r="L14" t="s">
        <v>28</v>
      </c>
      <c r="M14" t="s">
        <v>29</v>
      </c>
    </row>
    <row r="15" spans="1:13" x14ac:dyDescent="0.3">
      <c r="A15" t="s">
        <v>56</v>
      </c>
      <c r="B15" s="4">
        <v>45666</v>
      </c>
      <c r="C15" t="s">
        <v>39</v>
      </c>
      <c r="D15" t="s">
        <v>26</v>
      </c>
      <c r="E15" t="s">
        <v>53</v>
      </c>
      <c r="F15">
        <v>6</v>
      </c>
      <c r="G15" s="5">
        <v>13.07</v>
      </c>
      <c r="H15" s="6">
        <v>0.1</v>
      </c>
      <c r="I15" s="5">
        <v>70.58</v>
      </c>
      <c r="J15" s="5">
        <v>51.55</v>
      </c>
      <c r="K15" s="5">
        <v>19.03</v>
      </c>
      <c r="L15" t="s">
        <v>33</v>
      </c>
      <c r="M15" t="s">
        <v>29</v>
      </c>
    </row>
    <row r="16" spans="1:13" x14ac:dyDescent="0.3">
      <c r="A16" t="s">
        <v>57</v>
      </c>
      <c r="B16" s="4">
        <v>45667</v>
      </c>
      <c r="C16" t="s">
        <v>25</v>
      </c>
      <c r="D16" t="s">
        <v>26</v>
      </c>
      <c r="E16" t="s">
        <v>32</v>
      </c>
      <c r="F16">
        <v>5</v>
      </c>
      <c r="G16" s="5">
        <v>4.93</v>
      </c>
      <c r="H16" s="6">
        <v>0.1</v>
      </c>
      <c r="I16" s="5">
        <v>22.18</v>
      </c>
      <c r="J16" s="5">
        <v>19.8</v>
      </c>
      <c r="K16" s="5">
        <v>2.38</v>
      </c>
      <c r="L16" t="s">
        <v>28</v>
      </c>
      <c r="M16" t="s">
        <v>29</v>
      </c>
    </row>
    <row r="17" spans="1:13" x14ac:dyDescent="0.3">
      <c r="A17" t="s">
        <v>58</v>
      </c>
      <c r="B17" s="4">
        <v>45667</v>
      </c>
      <c r="C17" t="s">
        <v>39</v>
      </c>
      <c r="D17" t="s">
        <v>42</v>
      </c>
      <c r="E17" t="s">
        <v>59</v>
      </c>
      <c r="F17">
        <v>6</v>
      </c>
      <c r="G17" s="5">
        <v>371.51</v>
      </c>
      <c r="H17" s="6">
        <v>0.1</v>
      </c>
      <c r="I17" s="5">
        <v>2006.15</v>
      </c>
      <c r="J17" s="5">
        <v>1773.77</v>
      </c>
      <c r="K17" s="5">
        <v>232.38</v>
      </c>
      <c r="L17" t="s">
        <v>28</v>
      </c>
      <c r="M17" t="s">
        <v>29</v>
      </c>
    </row>
    <row r="18" spans="1:13" x14ac:dyDescent="0.3">
      <c r="A18" t="s">
        <v>60</v>
      </c>
      <c r="B18" s="4">
        <v>45669</v>
      </c>
      <c r="C18" t="s">
        <v>51</v>
      </c>
      <c r="D18" t="s">
        <v>35</v>
      </c>
      <c r="E18" t="s">
        <v>47</v>
      </c>
      <c r="F18">
        <v>8</v>
      </c>
      <c r="G18" s="5">
        <v>239.74</v>
      </c>
      <c r="H18" s="6">
        <v>0.1</v>
      </c>
      <c r="I18" s="5">
        <v>1726.13</v>
      </c>
      <c r="J18" s="5">
        <v>1531.25</v>
      </c>
      <c r="K18" s="5">
        <v>194.88</v>
      </c>
      <c r="L18" t="s">
        <v>37</v>
      </c>
      <c r="M18" t="s">
        <v>29</v>
      </c>
    </row>
    <row r="19" spans="1:13" x14ac:dyDescent="0.3">
      <c r="A19" t="s">
        <v>61</v>
      </c>
      <c r="B19" s="4">
        <v>45669</v>
      </c>
      <c r="C19" t="s">
        <v>25</v>
      </c>
      <c r="D19" t="s">
        <v>42</v>
      </c>
      <c r="E19" t="s">
        <v>62</v>
      </c>
      <c r="F19">
        <v>3</v>
      </c>
      <c r="G19" s="5">
        <v>75.78</v>
      </c>
      <c r="H19" s="6">
        <v>0.1</v>
      </c>
      <c r="I19" s="5">
        <v>204.61</v>
      </c>
      <c r="J19" s="5">
        <v>132.38</v>
      </c>
      <c r="K19" s="5">
        <v>72.23</v>
      </c>
      <c r="L19" t="s">
        <v>33</v>
      </c>
      <c r="M19" t="s">
        <v>29</v>
      </c>
    </row>
    <row r="20" spans="1:13" x14ac:dyDescent="0.3">
      <c r="A20" t="s">
        <v>63</v>
      </c>
      <c r="B20" s="4">
        <v>45670</v>
      </c>
      <c r="C20" t="s">
        <v>25</v>
      </c>
      <c r="D20" t="s">
        <v>35</v>
      </c>
      <c r="E20" t="s">
        <v>47</v>
      </c>
      <c r="F20">
        <v>3</v>
      </c>
      <c r="G20" s="5">
        <v>160.13999999999999</v>
      </c>
      <c r="H20" s="6">
        <v>0</v>
      </c>
      <c r="I20" s="5">
        <v>480.42</v>
      </c>
      <c r="J20" s="5">
        <v>333.76</v>
      </c>
      <c r="K20" s="5">
        <v>146.66</v>
      </c>
      <c r="L20" t="s">
        <v>33</v>
      </c>
      <c r="M20" t="s">
        <v>29</v>
      </c>
    </row>
    <row r="21" spans="1:13" x14ac:dyDescent="0.3">
      <c r="A21" t="s">
        <v>64</v>
      </c>
      <c r="B21" s="4">
        <v>45671</v>
      </c>
      <c r="C21" t="s">
        <v>25</v>
      </c>
      <c r="D21" t="s">
        <v>26</v>
      </c>
      <c r="E21" t="s">
        <v>65</v>
      </c>
      <c r="F21">
        <v>6</v>
      </c>
      <c r="G21" s="5">
        <v>12.58</v>
      </c>
      <c r="H21" s="6">
        <v>0.05</v>
      </c>
      <c r="I21" s="5">
        <v>71.709999999999994</v>
      </c>
      <c r="J21" s="5">
        <v>40.5</v>
      </c>
      <c r="K21" s="5">
        <v>31.21</v>
      </c>
      <c r="L21" t="s">
        <v>37</v>
      </c>
      <c r="M21" t="s">
        <v>29</v>
      </c>
    </row>
    <row r="22" spans="1:13" x14ac:dyDescent="0.3">
      <c r="A22" t="s">
        <v>66</v>
      </c>
      <c r="B22" s="4">
        <v>45671</v>
      </c>
      <c r="C22" t="s">
        <v>51</v>
      </c>
      <c r="D22" t="s">
        <v>26</v>
      </c>
      <c r="E22" t="s">
        <v>53</v>
      </c>
      <c r="F22">
        <v>3</v>
      </c>
      <c r="G22" s="5">
        <v>13.91</v>
      </c>
      <c r="H22" s="6">
        <v>0.1</v>
      </c>
      <c r="I22" s="5">
        <v>37.56</v>
      </c>
      <c r="J22" s="5">
        <v>27.97</v>
      </c>
      <c r="K22" s="5">
        <v>9.59</v>
      </c>
      <c r="L22" t="s">
        <v>37</v>
      </c>
      <c r="M22" t="s">
        <v>29</v>
      </c>
    </row>
    <row r="23" spans="1:13" x14ac:dyDescent="0.3">
      <c r="A23" t="s">
        <v>67</v>
      </c>
      <c r="B23" s="4">
        <v>45673</v>
      </c>
      <c r="C23" t="s">
        <v>25</v>
      </c>
      <c r="D23" t="s">
        <v>26</v>
      </c>
      <c r="E23" t="s">
        <v>68</v>
      </c>
      <c r="F23">
        <v>8</v>
      </c>
      <c r="G23" s="5">
        <v>6.03</v>
      </c>
      <c r="H23" s="6">
        <v>0</v>
      </c>
      <c r="I23" s="5">
        <v>48.24</v>
      </c>
      <c r="J23" s="5">
        <v>28.89</v>
      </c>
      <c r="K23" s="5">
        <v>19.350000000000001</v>
      </c>
      <c r="L23" t="s">
        <v>28</v>
      </c>
      <c r="M23" t="s">
        <v>29</v>
      </c>
    </row>
    <row r="24" spans="1:13" x14ac:dyDescent="0.3">
      <c r="A24" t="s">
        <v>69</v>
      </c>
      <c r="B24" s="4">
        <v>45673</v>
      </c>
      <c r="C24" t="s">
        <v>51</v>
      </c>
      <c r="D24" t="s">
        <v>26</v>
      </c>
      <c r="E24" t="s">
        <v>65</v>
      </c>
      <c r="F24">
        <v>7</v>
      </c>
      <c r="G24" s="5">
        <v>19.350000000000001</v>
      </c>
      <c r="H24" s="6">
        <v>0</v>
      </c>
      <c r="I24" s="5">
        <v>135.44999999999999</v>
      </c>
      <c r="J24" s="5">
        <v>99.27</v>
      </c>
      <c r="K24" s="5">
        <v>36.18</v>
      </c>
      <c r="L24" t="s">
        <v>33</v>
      </c>
      <c r="M24" t="s">
        <v>29</v>
      </c>
    </row>
    <row r="25" spans="1:13" x14ac:dyDescent="0.3">
      <c r="A25" t="s">
        <v>70</v>
      </c>
      <c r="B25" s="4">
        <v>45673</v>
      </c>
      <c r="C25" t="s">
        <v>25</v>
      </c>
      <c r="D25" t="s">
        <v>35</v>
      </c>
      <c r="E25" t="s">
        <v>36</v>
      </c>
      <c r="F25">
        <v>6</v>
      </c>
      <c r="G25" s="5">
        <v>98.35</v>
      </c>
      <c r="H25" s="6">
        <v>0.15</v>
      </c>
      <c r="I25" s="5">
        <v>501.58</v>
      </c>
      <c r="J25" s="5">
        <v>416.22</v>
      </c>
      <c r="K25" s="5">
        <v>85.36</v>
      </c>
      <c r="L25" t="s">
        <v>37</v>
      </c>
      <c r="M25" t="s">
        <v>29</v>
      </c>
    </row>
    <row r="26" spans="1:13" x14ac:dyDescent="0.3">
      <c r="A26" t="s">
        <v>71</v>
      </c>
      <c r="B26" s="4">
        <v>45674</v>
      </c>
      <c r="C26" t="s">
        <v>51</v>
      </c>
      <c r="D26" t="s">
        <v>42</v>
      </c>
      <c r="E26" t="s">
        <v>72</v>
      </c>
      <c r="F26">
        <v>4</v>
      </c>
      <c r="G26" s="5">
        <v>527.49</v>
      </c>
      <c r="H26" s="6">
        <v>0.1</v>
      </c>
      <c r="I26" s="5">
        <v>1898.96</v>
      </c>
      <c r="J26" s="5">
        <v>1319.62</v>
      </c>
      <c r="K26" s="5">
        <v>579.34</v>
      </c>
      <c r="L26" t="s">
        <v>28</v>
      </c>
      <c r="M26" t="s">
        <v>29</v>
      </c>
    </row>
    <row r="27" spans="1:13" x14ac:dyDescent="0.3">
      <c r="A27" t="s">
        <v>73</v>
      </c>
      <c r="B27" s="4">
        <v>45674</v>
      </c>
      <c r="C27" t="s">
        <v>25</v>
      </c>
      <c r="D27" t="s">
        <v>26</v>
      </c>
      <c r="E27" t="s">
        <v>27</v>
      </c>
      <c r="F27">
        <v>1</v>
      </c>
      <c r="G27" s="5">
        <v>20.16</v>
      </c>
      <c r="H27" s="6">
        <v>0</v>
      </c>
      <c r="I27" s="5">
        <v>20.16</v>
      </c>
      <c r="J27" s="5">
        <v>11.94</v>
      </c>
      <c r="K27" s="5">
        <v>8.2200000000000006</v>
      </c>
      <c r="L27" t="s">
        <v>37</v>
      </c>
      <c r="M27" t="s">
        <v>29</v>
      </c>
    </row>
    <row r="28" spans="1:13" x14ac:dyDescent="0.3">
      <c r="A28" t="s">
        <v>74</v>
      </c>
      <c r="B28" s="4">
        <v>45675</v>
      </c>
      <c r="C28" t="s">
        <v>31</v>
      </c>
      <c r="D28" t="s">
        <v>26</v>
      </c>
      <c r="E28" t="s">
        <v>27</v>
      </c>
      <c r="F28">
        <v>1</v>
      </c>
      <c r="G28" s="5">
        <v>7.12</v>
      </c>
      <c r="H28" s="6">
        <v>0.15</v>
      </c>
      <c r="I28" s="5">
        <v>6.05</v>
      </c>
      <c r="J28" s="5">
        <v>5.7</v>
      </c>
      <c r="K28" s="5">
        <v>0.35</v>
      </c>
      <c r="L28" t="s">
        <v>33</v>
      </c>
      <c r="M28" t="s">
        <v>29</v>
      </c>
    </row>
    <row r="29" spans="1:13" x14ac:dyDescent="0.3">
      <c r="A29" t="s">
        <v>75</v>
      </c>
      <c r="B29" s="4">
        <v>45676</v>
      </c>
      <c r="C29" t="s">
        <v>51</v>
      </c>
      <c r="D29" t="s">
        <v>42</v>
      </c>
      <c r="E29" t="s">
        <v>72</v>
      </c>
      <c r="F29">
        <v>5</v>
      </c>
      <c r="G29" s="5">
        <v>858.74</v>
      </c>
      <c r="H29" s="6">
        <v>0</v>
      </c>
      <c r="I29" s="5">
        <v>4293.7</v>
      </c>
      <c r="J29" s="5">
        <v>2655.02</v>
      </c>
      <c r="K29" s="5">
        <v>1638.68</v>
      </c>
      <c r="L29" t="s">
        <v>33</v>
      </c>
      <c r="M29" t="s">
        <v>29</v>
      </c>
    </row>
    <row r="30" spans="1:13" x14ac:dyDescent="0.3">
      <c r="A30" t="s">
        <v>76</v>
      </c>
      <c r="B30" s="4">
        <v>45677</v>
      </c>
      <c r="C30" t="s">
        <v>51</v>
      </c>
      <c r="D30" t="s">
        <v>35</v>
      </c>
      <c r="E30" t="s">
        <v>45</v>
      </c>
      <c r="F30">
        <v>5</v>
      </c>
      <c r="G30" s="5">
        <v>272.47000000000003</v>
      </c>
      <c r="H30" s="6">
        <v>0</v>
      </c>
      <c r="I30" s="5">
        <v>1362.35</v>
      </c>
      <c r="J30" s="5">
        <v>773.21</v>
      </c>
      <c r="K30" s="5">
        <v>589.14</v>
      </c>
      <c r="L30" t="s">
        <v>28</v>
      </c>
      <c r="M30" t="s">
        <v>29</v>
      </c>
    </row>
    <row r="31" spans="1:13" x14ac:dyDescent="0.3">
      <c r="A31" t="s">
        <v>77</v>
      </c>
      <c r="B31" s="4">
        <v>45678</v>
      </c>
      <c r="C31" t="s">
        <v>51</v>
      </c>
      <c r="D31" t="s">
        <v>26</v>
      </c>
      <c r="E31" t="s">
        <v>53</v>
      </c>
      <c r="F31">
        <v>3</v>
      </c>
      <c r="G31" s="5">
        <v>21.26</v>
      </c>
      <c r="H31" s="6">
        <v>0</v>
      </c>
      <c r="I31" s="5">
        <v>63.78</v>
      </c>
      <c r="J31" s="5">
        <v>48.56</v>
      </c>
      <c r="K31" s="5">
        <v>15.22</v>
      </c>
      <c r="L31" t="s">
        <v>28</v>
      </c>
      <c r="M31" t="s">
        <v>29</v>
      </c>
    </row>
    <row r="32" spans="1:13" x14ac:dyDescent="0.3">
      <c r="A32" t="s">
        <v>78</v>
      </c>
      <c r="B32" s="4">
        <v>45679</v>
      </c>
      <c r="C32" t="s">
        <v>31</v>
      </c>
      <c r="D32" t="s">
        <v>26</v>
      </c>
      <c r="E32" t="s">
        <v>32</v>
      </c>
      <c r="F32">
        <v>8</v>
      </c>
      <c r="G32" s="5">
        <v>17.78</v>
      </c>
      <c r="H32" s="6">
        <v>0.2</v>
      </c>
      <c r="I32" s="5">
        <v>113.79</v>
      </c>
      <c r="J32" s="5">
        <v>112.63</v>
      </c>
      <c r="K32" s="5">
        <v>1.1599999999999999</v>
      </c>
      <c r="L32" t="s">
        <v>37</v>
      </c>
      <c r="M32" t="s">
        <v>29</v>
      </c>
    </row>
    <row r="33" spans="1:13" x14ac:dyDescent="0.3">
      <c r="A33" t="s">
        <v>79</v>
      </c>
      <c r="B33" s="4">
        <v>45681</v>
      </c>
      <c r="C33" t="s">
        <v>25</v>
      </c>
      <c r="D33" t="s">
        <v>26</v>
      </c>
      <c r="E33" t="s">
        <v>27</v>
      </c>
      <c r="F33">
        <v>6</v>
      </c>
      <c r="G33" s="5">
        <v>21.04</v>
      </c>
      <c r="H33" s="6">
        <v>0.1</v>
      </c>
      <c r="I33" s="5">
        <v>113.62</v>
      </c>
      <c r="J33" s="5">
        <v>89.31</v>
      </c>
      <c r="K33" s="5">
        <v>24.31</v>
      </c>
      <c r="L33" t="s">
        <v>33</v>
      </c>
      <c r="M33" t="s">
        <v>29</v>
      </c>
    </row>
    <row r="34" spans="1:13" x14ac:dyDescent="0.3">
      <c r="A34" t="s">
        <v>80</v>
      </c>
      <c r="B34" s="4">
        <v>45681</v>
      </c>
      <c r="C34" t="s">
        <v>25</v>
      </c>
      <c r="D34" t="s">
        <v>42</v>
      </c>
      <c r="E34" t="s">
        <v>62</v>
      </c>
      <c r="F34">
        <v>4</v>
      </c>
      <c r="G34" s="5">
        <v>33.07</v>
      </c>
      <c r="H34" s="6">
        <v>0.1</v>
      </c>
      <c r="I34" s="5">
        <v>119.05</v>
      </c>
      <c r="J34" s="5">
        <v>83.74</v>
      </c>
      <c r="K34" s="5">
        <v>35.31</v>
      </c>
      <c r="L34" t="s">
        <v>33</v>
      </c>
      <c r="M34" t="s">
        <v>29</v>
      </c>
    </row>
    <row r="35" spans="1:13" x14ac:dyDescent="0.3">
      <c r="A35" t="s">
        <v>81</v>
      </c>
      <c r="B35" s="4">
        <v>45682</v>
      </c>
      <c r="C35" t="s">
        <v>39</v>
      </c>
      <c r="D35" t="s">
        <v>26</v>
      </c>
      <c r="E35" t="s">
        <v>65</v>
      </c>
      <c r="F35">
        <v>5</v>
      </c>
      <c r="G35" s="5">
        <v>9.75</v>
      </c>
      <c r="H35" s="6">
        <v>0.05</v>
      </c>
      <c r="I35" s="5">
        <v>46.31</v>
      </c>
      <c r="J35" s="5">
        <v>26.27</v>
      </c>
      <c r="K35" s="5">
        <v>20.04</v>
      </c>
      <c r="L35" t="s">
        <v>28</v>
      </c>
      <c r="M35" t="s">
        <v>29</v>
      </c>
    </row>
    <row r="36" spans="1:13" x14ac:dyDescent="0.3">
      <c r="A36" t="s">
        <v>82</v>
      </c>
      <c r="B36" s="4">
        <v>45682</v>
      </c>
      <c r="C36" t="s">
        <v>25</v>
      </c>
      <c r="D36" t="s">
        <v>26</v>
      </c>
      <c r="E36" t="s">
        <v>68</v>
      </c>
      <c r="F36">
        <v>8</v>
      </c>
      <c r="G36" s="5">
        <v>10.38</v>
      </c>
      <c r="H36" s="6">
        <v>0.05</v>
      </c>
      <c r="I36" s="5">
        <v>78.89</v>
      </c>
      <c r="J36" s="5">
        <v>44.39</v>
      </c>
      <c r="K36" s="5">
        <v>34.5</v>
      </c>
      <c r="L36" t="s">
        <v>28</v>
      </c>
      <c r="M36" t="s">
        <v>29</v>
      </c>
    </row>
    <row r="37" spans="1:13" x14ac:dyDescent="0.3">
      <c r="A37" t="s">
        <v>83</v>
      </c>
      <c r="B37" s="4">
        <v>45682</v>
      </c>
      <c r="C37" t="s">
        <v>25</v>
      </c>
      <c r="D37" t="s">
        <v>35</v>
      </c>
      <c r="E37" t="s">
        <v>47</v>
      </c>
      <c r="F37">
        <v>1</v>
      </c>
      <c r="G37" s="5">
        <v>158.28</v>
      </c>
      <c r="H37" s="6">
        <v>0</v>
      </c>
      <c r="I37" s="5">
        <v>158.28</v>
      </c>
      <c r="J37" s="5">
        <v>129.15</v>
      </c>
      <c r="K37" s="5">
        <v>29.13</v>
      </c>
      <c r="L37" t="s">
        <v>33</v>
      </c>
      <c r="M37" t="s">
        <v>29</v>
      </c>
    </row>
    <row r="38" spans="1:13" x14ac:dyDescent="0.3">
      <c r="A38" t="s">
        <v>84</v>
      </c>
      <c r="B38" s="4">
        <v>45685</v>
      </c>
      <c r="C38" t="s">
        <v>39</v>
      </c>
      <c r="D38" t="s">
        <v>42</v>
      </c>
      <c r="E38" t="s">
        <v>72</v>
      </c>
      <c r="F38">
        <v>6</v>
      </c>
      <c r="G38" s="5">
        <v>794.78</v>
      </c>
      <c r="H38" s="6">
        <v>0</v>
      </c>
      <c r="I38" s="5">
        <v>4768.68</v>
      </c>
      <c r="J38" s="5">
        <v>3545.81</v>
      </c>
      <c r="K38" s="5">
        <v>1222.8699999999999</v>
      </c>
      <c r="L38" t="s">
        <v>37</v>
      </c>
      <c r="M38" t="s">
        <v>29</v>
      </c>
    </row>
    <row r="39" spans="1:13" x14ac:dyDescent="0.3">
      <c r="A39" t="s">
        <v>85</v>
      </c>
      <c r="B39" s="4">
        <v>45686</v>
      </c>
      <c r="C39" t="s">
        <v>31</v>
      </c>
      <c r="D39" t="s">
        <v>26</v>
      </c>
      <c r="E39" t="s">
        <v>32</v>
      </c>
      <c r="F39">
        <v>5</v>
      </c>
      <c r="G39" s="5">
        <v>5.28</v>
      </c>
      <c r="H39" s="6">
        <v>0.05</v>
      </c>
      <c r="I39" s="5">
        <v>25.08</v>
      </c>
      <c r="J39" s="5">
        <v>18.21</v>
      </c>
      <c r="K39" s="5">
        <v>6.87</v>
      </c>
      <c r="L39" t="s">
        <v>37</v>
      </c>
      <c r="M39" t="s">
        <v>29</v>
      </c>
    </row>
    <row r="40" spans="1:13" x14ac:dyDescent="0.3">
      <c r="A40" t="s">
        <v>86</v>
      </c>
      <c r="B40" s="4">
        <v>45686</v>
      </c>
      <c r="C40" t="s">
        <v>25</v>
      </c>
      <c r="D40" t="s">
        <v>42</v>
      </c>
      <c r="E40" t="s">
        <v>72</v>
      </c>
      <c r="F40">
        <v>1</v>
      </c>
      <c r="G40" s="5">
        <v>549.41</v>
      </c>
      <c r="H40" s="6">
        <v>0.15</v>
      </c>
      <c r="I40" s="5">
        <v>467</v>
      </c>
      <c r="J40" s="5">
        <v>381.33</v>
      </c>
      <c r="K40" s="5">
        <v>85.67</v>
      </c>
      <c r="L40" t="s">
        <v>28</v>
      </c>
      <c r="M40" t="s">
        <v>29</v>
      </c>
    </row>
    <row r="41" spans="1:13" x14ac:dyDescent="0.3">
      <c r="A41" t="s">
        <v>87</v>
      </c>
      <c r="B41" s="4">
        <v>45687</v>
      </c>
      <c r="C41" t="s">
        <v>51</v>
      </c>
      <c r="D41" t="s">
        <v>35</v>
      </c>
      <c r="E41" t="s">
        <v>47</v>
      </c>
      <c r="F41">
        <v>6</v>
      </c>
      <c r="G41" s="5">
        <v>307.44</v>
      </c>
      <c r="H41" s="6">
        <v>0.2</v>
      </c>
      <c r="I41" s="5">
        <v>1475.71</v>
      </c>
      <c r="J41" s="5">
        <v>1334.42</v>
      </c>
      <c r="K41" s="5">
        <v>141.29</v>
      </c>
      <c r="L41" t="s">
        <v>37</v>
      </c>
      <c r="M41" t="s">
        <v>29</v>
      </c>
    </row>
    <row r="42" spans="1:13" x14ac:dyDescent="0.3">
      <c r="A42" t="s">
        <v>88</v>
      </c>
      <c r="B42" s="4">
        <v>45688</v>
      </c>
      <c r="C42" t="s">
        <v>51</v>
      </c>
      <c r="D42" t="s">
        <v>26</v>
      </c>
      <c r="E42" t="s">
        <v>53</v>
      </c>
      <c r="F42">
        <v>7</v>
      </c>
      <c r="G42" s="5">
        <v>21.7</v>
      </c>
      <c r="H42" s="6">
        <v>0</v>
      </c>
      <c r="I42" s="5">
        <v>151.9</v>
      </c>
      <c r="J42" s="5">
        <v>114.39</v>
      </c>
      <c r="K42" s="5">
        <v>37.51</v>
      </c>
      <c r="L42" t="s">
        <v>28</v>
      </c>
      <c r="M42" t="s">
        <v>29</v>
      </c>
    </row>
    <row r="43" spans="1:13" x14ac:dyDescent="0.3">
      <c r="A43" t="s">
        <v>89</v>
      </c>
      <c r="B43" s="4">
        <v>45688</v>
      </c>
      <c r="C43" t="s">
        <v>31</v>
      </c>
      <c r="D43" t="s">
        <v>26</v>
      </c>
      <c r="E43" t="s">
        <v>53</v>
      </c>
      <c r="F43">
        <v>2</v>
      </c>
      <c r="G43" s="5">
        <v>13.16</v>
      </c>
      <c r="H43" s="6">
        <v>0</v>
      </c>
      <c r="I43" s="5">
        <v>26.32</v>
      </c>
      <c r="J43" s="5">
        <v>17.809999999999999</v>
      </c>
      <c r="K43" s="5">
        <v>8.51</v>
      </c>
      <c r="L43" t="s">
        <v>37</v>
      </c>
      <c r="M43" t="s">
        <v>29</v>
      </c>
    </row>
    <row r="44" spans="1:13" x14ac:dyDescent="0.3">
      <c r="A44" t="s">
        <v>90</v>
      </c>
      <c r="B44" s="4">
        <v>45688</v>
      </c>
      <c r="C44" t="s">
        <v>25</v>
      </c>
      <c r="D44" t="s">
        <v>26</v>
      </c>
      <c r="E44" t="s">
        <v>53</v>
      </c>
      <c r="F44">
        <v>1</v>
      </c>
      <c r="G44" s="5">
        <v>6.13</v>
      </c>
      <c r="H44" s="6">
        <v>0</v>
      </c>
      <c r="I44" s="5">
        <v>6.13</v>
      </c>
      <c r="J44" s="5">
        <v>4.16</v>
      </c>
      <c r="K44" s="5">
        <v>1.97</v>
      </c>
      <c r="L44" t="s">
        <v>37</v>
      </c>
      <c r="M44" t="s">
        <v>29</v>
      </c>
    </row>
    <row r="45" spans="1:13" x14ac:dyDescent="0.3">
      <c r="A45" t="s">
        <v>91</v>
      </c>
      <c r="B45" s="4">
        <v>45689</v>
      </c>
      <c r="C45" t="s">
        <v>51</v>
      </c>
      <c r="D45" t="s">
        <v>26</v>
      </c>
      <c r="E45" t="s">
        <v>65</v>
      </c>
      <c r="F45">
        <v>4</v>
      </c>
      <c r="G45" s="5">
        <v>18.899999999999999</v>
      </c>
      <c r="H45" s="6">
        <v>0</v>
      </c>
      <c r="I45" s="5">
        <v>75.599999999999994</v>
      </c>
      <c r="J45" s="5">
        <v>44.19</v>
      </c>
      <c r="K45" s="5">
        <v>31.41</v>
      </c>
      <c r="L45" t="s">
        <v>37</v>
      </c>
      <c r="M45" t="s">
        <v>92</v>
      </c>
    </row>
    <row r="46" spans="1:13" x14ac:dyDescent="0.3">
      <c r="A46" t="s">
        <v>93</v>
      </c>
      <c r="B46" s="4">
        <v>45689</v>
      </c>
      <c r="C46" t="s">
        <v>51</v>
      </c>
      <c r="D46" t="s">
        <v>35</v>
      </c>
      <c r="E46" t="s">
        <v>40</v>
      </c>
      <c r="F46">
        <v>6</v>
      </c>
      <c r="G46" s="5">
        <v>98.08</v>
      </c>
      <c r="H46" s="6">
        <v>0.05</v>
      </c>
      <c r="I46" s="5">
        <v>559.05999999999995</v>
      </c>
      <c r="J46" s="5">
        <v>341.35</v>
      </c>
      <c r="K46" s="5">
        <v>217.71</v>
      </c>
      <c r="L46" t="s">
        <v>28</v>
      </c>
      <c r="M46" t="s">
        <v>92</v>
      </c>
    </row>
    <row r="47" spans="1:13" x14ac:dyDescent="0.3">
      <c r="A47" t="s">
        <v>94</v>
      </c>
      <c r="B47" s="4">
        <v>45690</v>
      </c>
      <c r="C47" t="s">
        <v>39</v>
      </c>
      <c r="D47" t="s">
        <v>26</v>
      </c>
      <c r="E47" t="s">
        <v>53</v>
      </c>
      <c r="F47">
        <v>5</v>
      </c>
      <c r="G47" s="5">
        <v>24.36</v>
      </c>
      <c r="H47" s="6">
        <v>0.1</v>
      </c>
      <c r="I47" s="5">
        <v>109.62</v>
      </c>
      <c r="J47" s="5">
        <v>76.819999999999993</v>
      </c>
      <c r="K47" s="5">
        <v>32.799999999999997</v>
      </c>
      <c r="L47" t="s">
        <v>28</v>
      </c>
      <c r="M47" t="s">
        <v>92</v>
      </c>
    </row>
    <row r="48" spans="1:13" x14ac:dyDescent="0.3">
      <c r="A48" t="s">
        <v>95</v>
      </c>
      <c r="B48" s="4">
        <v>45690</v>
      </c>
      <c r="C48" t="s">
        <v>25</v>
      </c>
      <c r="D48" t="s">
        <v>35</v>
      </c>
      <c r="E48" t="s">
        <v>40</v>
      </c>
      <c r="F48">
        <v>5</v>
      </c>
      <c r="G48" s="5">
        <v>233.24</v>
      </c>
      <c r="H48" s="6">
        <v>0.15</v>
      </c>
      <c r="I48" s="5">
        <v>991.27</v>
      </c>
      <c r="J48" s="5">
        <v>855.01</v>
      </c>
      <c r="K48" s="5">
        <v>136.26</v>
      </c>
      <c r="L48" t="s">
        <v>37</v>
      </c>
      <c r="M48" t="s">
        <v>92</v>
      </c>
    </row>
    <row r="49" spans="1:13" x14ac:dyDescent="0.3">
      <c r="A49" t="s">
        <v>96</v>
      </c>
      <c r="B49" s="4">
        <v>45691</v>
      </c>
      <c r="C49" t="s">
        <v>39</v>
      </c>
      <c r="D49" t="s">
        <v>42</v>
      </c>
      <c r="E49" t="s">
        <v>97</v>
      </c>
      <c r="F49">
        <v>8</v>
      </c>
      <c r="G49" s="5">
        <v>27.7</v>
      </c>
      <c r="H49" s="6">
        <v>0.1</v>
      </c>
      <c r="I49" s="5">
        <v>199.44</v>
      </c>
      <c r="J49" s="5">
        <v>134.5</v>
      </c>
      <c r="K49" s="5">
        <v>64.94</v>
      </c>
      <c r="L49" t="s">
        <v>37</v>
      </c>
      <c r="M49" t="s">
        <v>92</v>
      </c>
    </row>
    <row r="50" spans="1:13" x14ac:dyDescent="0.3">
      <c r="A50" t="s">
        <v>98</v>
      </c>
      <c r="B50" s="4">
        <v>45691</v>
      </c>
      <c r="C50" t="s">
        <v>39</v>
      </c>
      <c r="D50" t="s">
        <v>35</v>
      </c>
      <c r="E50" t="s">
        <v>45</v>
      </c>
      <c r="F50">
        <v>7</v>
      </c>
      <c r="G50" s="5">
        <v>452.88</v>
      </c>
      <c r="H50" s="6">
        <v>0</v>
      </c>
      <c r="I50" s="5">
        <v>3170.16</v>
      </c>
      <c r="J50" s="5">
        <v>1675.39</v>
      </c>
      <c r="K50" s="5">
        <v>1494.77</v>
      </c>
      <c r="L50" t="s">
        <v>37</v>
      </c>
      <c r="M50" t="s">
        <v>92</v>
      </c>
    </row>
    <row r="51" spans="1:13" x14ac:dyDescent="0.3">
      <c r="A51" t="s">
        <v>99</v>
      </c>
      <c r="B51" s="4">
        <v>45691</v>
      </c>
      <c r="C51" t="s">
        <v>51</v>
      </c>
      <c r="D51" t="s">
        <v>42</v>
      </c>
      <c r="E51" t="s">
        <v>97</v>
      </c>
      <c r="F51">
        <v>8</v>
      </c>
      <c r="G51" s="5">
        <v>46.43</v>
      </c>
      <c r="H51" s="6">
        <v>0.05</v>
      </c>
      <c r="I51" s="5">
        <v>352.87</v>
      </c>
      <c r="J51" s="5">
        <v>234.38</v>
      </c>
      <c r="K51" s="5">
        <v>118.49</v>
      </c>
      <c r="L51" t="s">
        <v>28</v>
      </c>
      <c r="M51" t="s">
        <v>92</v>
      </c>
    </row>
    <row r="52" spans="1:13" x14ac:dyDescent="0.3">
      <c r="A52" t="s">
        <v>100</v>
      </c>
      <c r="B52" s="4">
        <v>45692</v>
      </c>
      <c r="C52" t="s">
        <v>39</v>
      </c>
      <c r="D52" t="s">
        <v>35</v>
      </c>
      <c r="E52" t="s">
        <v>45</v>
      </c>
      <c r="F52">
        <v>3</v>
      </c>
      <c r="G52" s="5">
        <v>586.59</v>
      </c>
      <c r="H52" s="6">
        <v>0.1</v>
      </c>
      <c r="I52" s="5">
        <v>1583.79</v>
      </c>
      <c r="J52" s="5">
        <v>1237.3900000000001</v>
      </c>
      <c r="K52" s="5">
        <v>346.4</v>
      </c>
      <c r="L52" t="s">
        <v>28</v>
      </c>
      <c r="M52" t="s">
        <v>92</v>
      </c>
    </row>
    <row r="53" spans="1:13" x14ac:dyDescent="0.3">
      <c r="A53" t="s">
        <v>101</v>
      </c>
      <c r="B53" s="4">
        <v>45692</v>
      </c>
      <c r="C53" t="s">
        <v>31</v>
      </c>
      <c r="D53" t="s">
        <v>26</v>
      </c>
      <c r="E53" t="s">
        <v>65</v>
      </c>
      <c r="F53">
        <v>4</v>
      </c>
      <c r="G53" s="5">
        <v>5.16</v>
      </c>
      <c r="H53" s="6">
        <v>0</v>
      </c>
      <c r="I53" s="5">
        <v>20.64</v>
      </c>
      <c r="J53" s="5">
        <v>16.809999999999999</v>
      </c>
      <c r="K53" s="5">
        <v>3.83</v>
      </c>
      <c r="L53" t="s">
        <v>28</v>
      </c>
      <c r="M53" t="s">
        <v>92</v>
      </c>
    </row>
    <row r="54" spans="1:13" x14ac:dyDescent="0.3">
      <c r="A54" t="s">
        <v>102</v>
      </c>
      <c r="B54" s="4">
        <v>45692</v>
      </c>
      <c r="C54" t="s">
        <v>39</v>
      </c>
      <c r="D54" t="s">
        <v>35</v>
      </c>
      <c r="E54" t="s">
        <v>103</v>
      </c>
      <c r="F54">
        <v>2</v>
      </c>
      <c r="G54" s="5">
        <v>152.97</v>
      </c>
      <c r="H54" s="6">
        <v>0</v>
      </c>
      <c r="I54" s="5">
        <v>305.94</v>
      </c>
      <c r="J54" s="5">
        <v>191.89</v>
      </c>
      <c r="K54" s="5">
        <v>114.05</v>
      </c>
      <c r="L54" t="s">
        <v>28</v>
      </c>
      <c r="M54" t="s">
        <v>92</v>
      </c>
    </row>
    <row r="55" spans="1:13" x14ac:dyDescent="0.3">
      <c r="A55" t="s">
        <v>104</v>
      </c>
      <c r="B55" s="4">
        <v>45692</v>
      </c>
      <c r="C55" t="s">
        <v>25</v>
      </c>
      <c r="D55" t="s">
        <v>26</v>
      </c>
      <c r="E55" t="s">
        <v>65</v>
      </c>
      <c r="F55">
        <v>5</v>
      </c>
      <c r="G55" s="5">
        <v>5.34</v>
      </c>
      <c r="H55" s="6">
        <v>0.1</v>
      </c>
      <c r="I55" s="5">
        <v>24.03</v>
      </c>
      <c r="J55" s="5">
        <v>14.38</v>
      </c>
      <c r="K55" s="5">
        <v>9.65</v>
      </c>
      <c r="L55" t="s">
        <v>33</v>
      </c>
      <c r="M55" t="s">
        <v>92</v>
      </c>
    </row>
    <row r="56" spans="1:13" x14ac:dyDescent="0.3">
      <c r="A56" t="s">
        <v>105</v>
      </c>
      <c r="B56" s="4">
        <v>45693</v>
      </c>
      <c r="C56" t="s">
        <v>51</v>
      </c>
      <c r="D56" t="s">
        <v>35</v>
      </c>
      <c r="E56" t="s">
        <v>103</v>
      </c>
      <c r="F56">
        <v>5</v>
      </c>
      <c r="G56" s="5">
        <v>138.15</v>
      </c>
      <c r="H56" s="6">
        <v>0</v>
      </c>
      <c r="I56" s="5">
        <v>690.75</v>
      </c>
      <c r="J56" s="5">
        <v>399.64</v>
      </c>
      <c r="K56" s="5">
        <v>291.11</v>
      </c>
      <c r="L56" t="s">
        <v>33</v>
      </c>
      <c r="M56" t="s">
        <v>92</v>
      </c>
    </row>
    <row r="57" spans="1:13" x14ac:dyDescent="0.3">
      <c r="A57" t="s">
        <v>106</v>
      </c>
      <c r="B57" s="4">
        <v>45693</v>
      </c>
      <c r="C57" t="s">
        <v>31</v>
      </c>
      <c r="D57" t="s">
        <v>35</v>
      </c>
      <c r="E57" t="s">
        <v>36</v>
      </c>
      <c r="F57">
        <v>4</v>
      </c>
      <c r="G57" s="5">
        <v>108.78</v>
      </c>
      <c r="H57" s="6">
        <v>0.2</v>
      </c>
      <c r="I57" s="5">
        <v>348.1</v>
      </c>
      <c r="J57" s="5">
        <v>328.7</v>
      </c>
      <c r="K57" s="5">
        <v>19.399999999999999</v>
      </c>
      <c r="L57" t="s">
        <v>33</v>
      </c>
      <c r="M57" t="s">
        <v>92</v>
      </c>
    </row>
    <row r="58" spans="1:13" x14ac:dyDescent="0.3">
      <c r="A58" t="s">
        <v>107</v>
      </c>
      <c r="B58" s="4">
        <v>45694</v>
      </c>
      <c r="C58" t="s">
        <v>25</v>
      </c>
      <c r="D58" t="s">
        <v>26</v>
      </c>
      <c r="E58" t="s">
        <v>27</v>
      </c>
      <c r="F58">
        <v>5</v>
      </c>
      <c r="G58" s="5">
        <v>20.2</v>
      </c>
      <c r="H58" s="6">
        <v>0.2</v>
      </c>
      <c r="I58" s="5">
        <v>80.8</v>
      </c>
      <c r="J58" s="5">
        <v>67.92</v>
      </c>
      <c r="K58" s="5">
        <v>12.88</v>
      </c>
      <c r="L58" t="s">
        <v>37</v>
      </c>
      <c r="M58" t="s">
        <v>92</v>
      </c>
    </row>
    <row r="59" spans="1:13" x14ac:dyDescent="0.3">
      <c r="A59" t="s">
        <v>108</v>
      </c>
      <c r="B59" s="4">
        <v>45695</v>
      </c>
      <c r="C59" t="s">
        <v>31</v>
      </c>
      <c r="D59" t="s">
        <v>42</v>
      </c>
      <c r="E59" t="s">
        <v>72</v>
      </c>
      <c r="F59">
        <v>4</v>
      </c>
      <c r="G59" s="5">
        <v>922.19</v>
      </c>
      <c r="H59" s="6">
        <v>0.15</v>
      </c>
      <c r="I59" s="5">
        <v>3135.45</v>
      </c>
      <c r="J59" s="5">
        <v>2801.43</v>
      </c>
      <c r="K59" s="5">
        <v>334.02</v>
      </c>
      <c r="L59" t="s">
        <v>37</v>
      </c>
      <c r="M59" t="s">
        <v>92</v>
      </c>
    </row>
    <row r="60" spans="1:13" x14ac:dyDescent="0.3">
      <c r="A60" t="s">
        <v>109</v>
      </c>
      <c r="B60" s="4">
        <v>45695</v>
      </c>
      <c r="C60" t="s">
        <v>31</v>
      </c>
      <c r="D60" t="s">
        <v>26</v>
      </c>
      <c r="E60" t="s">
        <v>53</v>
      </c>
      <c r="F60">
        <v>1</v>
      </c>
      <c r="G60" s="5">
        <v>24.77</v>
      </c>
      <c r="H60" s="6">
        <v>0</v>
      </c>
      <c r="I60" s="5">
        <v>24.77</v>
      </c>
      <c r="J60" s="5">
        <v>19.05</v>
      </c>
      <c r="K60" s="5">
        <v>5.72</v>
      </c>
      <c r="L60" t="s">
        <v>37</v>
      </c>
      <c r="M60" t="s">
        <v>92</v>
      </c>
    </row>
    <row r="61" spans="1:13" x14ac:dyDescent="0.3">
      <c r="A61" t="s">
        <v>110</v>
      </c>
      <c r="B61" s="4">
        <v>45696</v>
      </c>
      <c r="C61" t="s">
        <v>25</v>
      </c>
      <c r="D61" t="s">
        <v>42</v>
      </c>
      <c r="E61" t="s">
        <v>43</v>
      </c>
      <c r="F61">
        <v>7</v>
      </c>
      <c r="G61" s="5">
        <v>144.12</v>
      </c>
      <c r="H61" s="6">
        <v>0.1</v>
      </c>
      <c r="I61" s="5">
        <v>907.96</v>
      </c>
      <c r="J61" s="5">
        <v>687.53</v>
      </c>
      <c r="K61" s="5">
        <v>220.43</v>
      </c>
      <c r="L61" t="s">
        <v>37</v>
      </c>
      <c r="M61" t="s">
        <v>92</v>
      </c>
    </row>
    <row r="62" spans="1:13" x14ac:dyDescent="0.3">
      <c r="A62" t="s">
        <v>111</v>
      </c>
      <c r="B62" s="4">
        <v>45696</v>
      </c>
      <c r="C62" t="s">
        <v>25</v>
      </c>
      <c r="D62" t="s">
        <v>42</v>
      </c>
      <c r="E62" t="s">
        <v>97</v>
      </c>
      <c r="F62">
        <v>1</v>
      </c>
      <c r="G62" s="5">
        <v>53.79</v>
      </c>
      <c r="H62" s="6">
        <v>0.15</v>
      </c>
      <c r="I62" s="5">
        <v>45.72</v>
      </c>
      <c r="J62" s="5">
        <v>35.6</v>
      </c>
      <c r="K62" s="5">
        <v>10.119999999999999</v>
      </c>
      <c r="L62" t="s">
        <v>33</v>
      </c>
      <c r="M62" t="s">
        <v>92</v>
      </c>
    </row>
    <row r="63" spans="1:13" x14ac:dyDescent="0.3">
      <c r="A63" t="s">
        <v>112</v>
      </c>
      <c r="B63" s="4">
        <v>45696</v>
      </c>
      <c r="C63" t="s">
        <v>51</v>
      </c>
      <c r="D63" t="s">
        <v>26</v>
      </c>
      <c r="E63" t="s">
        <v>32</v>
      </c>
      <c r="F63">
        <v>4</v>
      </c>
      <c r="G63" s="5">
        <v>14.45</v>
      </c>
      <c r="H63" s="6">
        <v>0.2</v>
      </c>
      <c r="I63" s="5">
        <v>46.24</v>
      </c>
      <c r="J63" s="5">
        <v>32.49</v>
      </c>
      <c r="K63" s="5">
        <v>13.75</v>
      </c>
      <c r="L63" t="s">
        <v>28</v>
      </c>
      <c r="M63" t="s">
        <v>92</v>
      </c>
    </row>
    <row r="64" spans="1:13" x14ac:dyDescent="0.3">
      <c r="A64" t="s">
        <v>113</v>
      </c>
      <c r="B64" s="4">
        <v>45696</v>
      </c>
      <c r="C64" t="s">
        <v>51</v>
      </c>
      <c r="D64" t="s">
        <v>42</v>
      </c>
      <c r="E64" t="s">
        <v>72</v>
      </c>
      <c r="F64">
        <v>1</v>
      </c>
      <c r="G64" s="5">
        <v>1024.03</v>
      </c>
      <c r="H64" s="6">
        <v>0.05</v>
      </c>
      <c r="I64" s="5">
        <v>972.83</v>
      </c>
      <c r="J64" s="5">
        <v>799.23</v>
      </c>
      <c r="K64" s="5">
        <v>173.6</v>
      </c>
      <c r="L64" t="s">
        <v>37</v>
      </c>
      <c r="M64" t="s">
        <v>92</v>
      </c>
    </row>
    <row r="65" spans="1:13" x14ac:dyDescent="0.3">
      <c r="A65" t="s">
        <v>114</v>
      </c>
      <c r="B65" s="4">
        <v>45697</v>
      </c>
      <c r="C65" t="s">
        <v>25</v>
      </c>
      <c r="D65" t="s">
        <v>26</v>
      </c>
      <c r="E65" t="s">
        <v>32</v>
      </c>
      <c r="F65">
        <v>7</v>
      </c>
      <c r="G65" s="5">
        <v>13.94</v>
      </c>
      <c r="H65" s="6">
        <v>0.1</v>
      </c>
      <c r="I65" s="5">
        <v>87.82</v>
      </c>
      <c r="J65" s="5">
        <v>70.2</v>
      </c>
      <c r="K65" s="5">
        <v>17.62</v>
      </c>
      <c r="L65" t="s">
        <v>33</v>
      </c>
      <c r="M65" t="s">
        <v>92</v>
      </c>
    </row>
    <row r="66" spans="1:13" x14ac:dyDescent="0.3">
      <c r="A66" t="s">
        <v>115</v>
      </c>
      <c r="B66" s="4">
        <v>45697</v>
      </c>
      <c r="C66" t="s">
        <v>31</v>
      </c>
      <c r="D66" t="s">
        <v>42</v>
      </c>
      <c r="E66" t="s">
        <v>97</v>
      </c>
      <c r="F66">
        <v>6</v>
      </c>
      <c r="G66" s="5">
        <v>49.15</v>
      </c>
      <c r="H66" s="6">
        <v>0</v>
      </c>
      <c r="I66" s="5">
        <v>294.89999999999998</v>
      </c>
      <c r="J66" s="5">
        <v>179.48</v>
      </c>
      <c r="K66" s="5">
        <v>115.42</v>
      </c>
      <c r="L66" t="s">
        <v>33</v>
      </c>
      <c r="M66" t="s">
        <v>92</v>
      </c>
    </row>
    <row r="67" spans="1:13" x14ac:dyDescent="0.3">
      <c r="A67" t="s">
        <v>116</v>
      </c>
      <c r="B67" s="4">
        <v>45697</v>
      </c>
      <c r="C67" t="s">
        <v>39</v>
      </c>
      <c r="D67" t="s">
        <v>35</v>
      </c>
      <c r="E67" t="s">
        <v>45</v>
      </c>
      <c r="F67">
        <v>5</v>
      </c>
      <c r="G67" s="5">
        <v>350.69</v>
      </c>
      <c r="H67" s="6">
        <v>0.1</v>
      </c>
      <c r="I67" s="5">
        <v>1578.11</v>
      </c>
      <c r="J67" s="5">
        <v>1262.6400000000001</v>
      </c>
      <c r="K67" s="5">
        <v>315.47000000000003</v>
      </c>
      <c r="L67" t="s">
        <v>37</v>
      </c>
      <c r="M67" t="s">
        <v>92</v>
      </c>
    </row>
    <row r="68" spans="1:13" x14ac:dyDescent="0.3">
      <c r="A68" t="s">
        <v>117</v>
      </c>
      <c r="B68" s="4">
        <v>45699</v>
      </c>
      <c r="C68" t="s">
        <v>51</v>
      </c>
      <c r="D68" t="s">
        <v>42</v>
      </c>
      <c r="E68" t="s">
        <v>72</v>
      </c>
      <c r="F68">
        <v>6</v>
      </c>
      <c r="G68" s="5">
        <v>869.43</v>
      </c>
      <c r="H68" s="6">
        <v>0</v>
      </c>
      <c r="I68" s="5">
        <v>5216.58</v>
      </c>
      <c r="J68" s="5">
        <v>2767.54</v>
      </c>
      <c r="K68" s="5">
        <v>2449.04</v>
      </c>
      <c r="L68" t="s">
        <v>28</v>
      </c>
      <c r="M68" t="s">
        <v>92</v>
      </c>
    </row>
    <row r="69" spans="1:13" x14ac:dyDescent="0.3">
      <c r="A69" t="s">
        <v>118</v>
      </c>
      <c r="B69" s="4">
        <v>45699</v>
      </c>
      <c r="C69" t="s">
        <v>25</v>
      </c>
      <c r="D69" t="s">
        <v>26</v>
      </c>
      <c r="E69" t="s">
        <v>27</v>
      </c>
      <c r="F69">
        <v>6</v>
      </c>
      <c r="G69" s="5">
        <v>10.4</v>
      </c>
      <c r="H69" s="6">
        <v>0.05</v>
      </c>
      <c r="I69" s="5">
        <v>59.28</v>
      </c>
      <c r="J69" s="5">
        <v>47.04</v>
      </c>
      <c r="K69" s="5">
        <v>12.24</v>
      </c>
      <c r="L69" t="s">
        <v>33</v>
      </c>
      <c r="M69" t="s">
        <v>92</v>
      </c>
    </row>
    <row r="70" spans="1:13" x14ac:dyDescent="0.3">
      <c r="A70" t="s">
        <v>119</v>
      </c>
      <c r="B70" s="4">
        <v>45700</v>
      </c>
      <c r="C70" t="s">
        <v>39</v>
      </c>
      <c r="D70" t="s">
        <v>26</v>
      </c>
      <c r="E70" t="s">
        <v>53</v>
      </c>
      <c r="F70">
        <v>3</v>
      </c>
      <c r="G70" s="5">
        <v>4.96</v>
      </c>
      <c r="H70" s="6">
        <v>0.1</v>
      </c>
      <c r="I70" s="5">
        <v>13.39</v>
      </c>
      <c r="J70" s="5">
        <v>9.67</v>
      </c>
      <c r="K70" s="5">
        <v>3.72</v>
      </c>
      <c r="L70" t="s">
        <v>37</v>
      </c>
      <c r="M70" t="s">
        <v>92</v>
      </c>
    </row>
    <row r="71" spans="1:13" x14ac:dyDescent="0.3">
      <c r="A71" t="s">
        <v>120</v>
      </c>
      <c r="B71" s="4">
        <v>45700</v>
      </c>
      <c r="C71" t="s">
        <v>51</v>
      </c>
      <c r="D71" t="s">
        <v>35</v>
      </c>
      <c r="E71" t="s">
        <v>45</v>
      </c>
      <c r="F71">
        <v>3</v>
      </c>
      <c r="G71" s="5">
        <v>273.88</v>
      </c>
      <c r="H71" s="6">
        <v>0.2</v>
      </c>
      <c r="I71" s="5">
        <v>657.31</v>
      </c>
      <c r="J71" s="5">
        <v>580.52</v>
      </c>
      <c r="K71" s="5">
        <v>76.790000000000006</v>
      </c>
      <c r="L71" t="s">
        <v>28</v>
      </c>
      <c r="M71" t="s">
        <v>92</v>
      </c>
    </row>
    <row r="72" spans="1:13" x14ac:dyDescent="0.3">
      <c r="A72" t="s">
        <v>121</v>
      </c>
      <c r="B72" s="4">
        <v>45701</v>
      </c>
      <c r="C72" t="s">
        <v>39</v>
      </c>
      <c r="D72" t="s">
        <v>42</v>
      </c>
      <c r="E72" t="s">
        <v>43</v>
      </c>
      <c r="F72">
        <v>8</v>
      </c>
      <c r="G72" s="5">
        <v>63.42</v>
      </c>
      <c r="H72" s="6">
        <v>0</v>
      </c>
      <c r="I72" s="5">
        <v>507.36</v>
      </c>
      <c r="J72" s="5">
        <v>349.36</v>
      </c>
      <c r="K72" s="5">
        <v>158</v>
      </c>
      <c r="L72" t="s">
        <v>33</v>
      </c>
      <c r="M72" t="s">
        <v>92</v>
      </c>
    </row>
    <row r="73" spans="1:13" x14ac:dyDescent="0.3">
      <c r="A73" t="s">
        <v>122</v>
      </c>
      <c r="B73" s="4">
        <v>45701</v>
      </c>
      <c r="C73" t="s">
        <v>51</v>
      </c>
      <c r="D73" t="s">
        <v>42</v>
      </c>
      <c r="E73" t="s">
        <v>59</v>
      </c>
      <c r="F73">
        <v>4</v>
      </c>
      <c r="G73" s="5">
        <v>320.69</v>
      </c>
      <c r="H73" s="6">
        <v>0.05</v>
      </c>
      <c r="I73" s="5">
        <v>1218.6199999999999</v>
      </c>
      <c r="J73" s="5">
        <v>806.07</v>
      </c>
      <c r="K73" s="5">
        <v>412.55</v>
      </c>
      <c r="L73" t="s">
        <v>37</v>
      </c>
      <c r="M73" t="s">
        <v>92</v>
      </c>
    </row>
    <row r="74" spans="1:13" x14ac:dyDescent="0.3">
      <c r="A74" t="s">
        <v>123</v>
      </c>
      <c r="B74" s="4">
        <v>45701</v>
      </c>
      <c r="C74" t="s">
        <v>51</v>
      </c>
      <c r="D74" t="s">
        <v>26</v>
      </c>
      <c r="E74" t="s">
        <v>53</v>
      </c>
      <c r="F74">
        <v>1</v>
      </c>
      <c r="G74" s="5">
        <v>7.03</v>
      </c>
      <c r="H74" s="6">
        <v>0.1</v>
      </c>
      <c r="I74" s="5">
        <v>6.33</v>
      </c>
      <c r="J74" s="5">
        <v>4.1500000000000004</v>
      </c>
      <c r="K74" s="5">
        <v>2.1800000000000002</v>
      </c>
      <c r="L74" t="s">
        <v>33</v>
      </c>
      <c r="M74" t="s">
        <v>92</v>
      </c>
    </row>
    <row r="75" spans="1:13" x14ac:dyDescent="0.3">
      <c r="A75" t="s">
        <v>124</v>
      </c>
      <c r="B75" s="4">
        <v>45702</v>
      </c>
      <c r="C75" t="s">
        <v>25</v>
      </c>
      <c r="D75" t="s">
        <v>26</v>
      </c>
      <c r="E75" t="s">
        <v>53</v>
      </c>
      <c r="F75">
        <v>6</v>
      </c>
      <c r="G75" s="5">
        <v>18</v>
      </c>
      <c r="H75" s="6">
        <v>0.05</v>
      </c>
      <c r="I75" s="5">
        <v>102.6</v>
      </c>
      <c r="J75" s="5">
        <v>66.58</v>
      </c>
      <c r="K75" s="5">
        <v>36.020000000000003</v>
      </c>
      <c r="L75" t="s">
        <v>33</v>
      </c>
      <c r="M75" t="s">
        <v>92</v>
      </c>
    </row>
    <row r="76" spans="1:13" x14ac:dyDescent="0.3">
      <c r="A76" t="s">
        <v>125</v>
      </c>
      <c r="B76" s="4">
        <v>45702</v>
      </c>
      <c r="C76" t="s">
        <v>51</v>
      </c>
      <c r="D76" t="s">
        <v>26</v>
      </c>
      <c r="E76" t="s">
        <v>32</v>
      </c>
      <c r="F76">
        <v>1</v>
      </c>
      <c r="G76" s="5">
        <v>12.13</v>
      </c>
      <c r="H76" s="6">
        <v>0</v>
      </c>
      <c r="I76" s="5">
        <v>12.13</v>
      </c>
      <c r="J76" s="5">
        <v>7.12</v>
      </c>
      <c r="K76" s="5">
        <v>5.01</v>
      </c>
      <c r="L76" t="s">
        <v>37</v>
      </c>
      <c r="M76" t="s">
        <v>92</v>
      </c>
    </row>
    <row r="77" spans="1:13" x14ac:dyDescent="0.3">
      <c r="A77" t="s">
        <v>126</v>
      </c>
      <c r="B77" s="4">
        <v>45703</v>
      </c>
      <c r="C77" t="s">
        <v>25</v>
      </c>
      <c r="D77" t="s">
        <v>26</v>
      </c>
      <c r="E77" t="s">
        <v>68</v>
      </c>
      <c r="F77">
        <v>7</v>
      </c>
      <c r="G77" s="5">
        <v>5.12</v>
      </c>
      <c r="H77" s="6">
        <v>0.2</v>
      </c>
      <c r="I77" s="5">
        <v>28.67</v>
      </c>
      <c r="J77" s="5">
        <v>29.01</v>
      </c>
      <c r="K77" s="5">
        <v>-0.34</v>
      </c>
      <c r="L77" t="s">
        <v>33</v>
      </c>
      <c r="M77" t="s">
        <v>92</v>
      </c>
    </row>
    <row r="78" spans="1:13" x14ac:dyDescent="0.3">
      <c r="A78" t="s">
        <v>127</v>
      </c>
      <c r="B78" s="4">
        <v>45704</v>
      </c>
      <c r="C78" t="s">
        <v>31</v>
      </c>
      <c r="D78" t="s">
        <v>42</v>
      </c>
      <c r="E78" t="s">
        <v>43</v>
      </c>
      <c r="F78">
        <v>1</v>
      </c>
      <c r="G78" s="5">
        <v>112.4</v>
      </c>
      <c r="H78" s="6">
        <v>0.1</v>
      </c>
      <c r="I78" s="5">
        <v>101.16</v>
      </c>
      <c r="J78" s="5">
        <v>60.43</v>
      </c>
      <c r="K78" s="5">
        <v>40.729999999999997</v>
      </c>
      <c r="L78" t="s">
        <v>37</v>
      </c>
      <c r="M78" t="s">
        <v>92</v>
      </c>
    </row>
    <row r="79" spans="1:13" x14ac:dyDescent="0.3">
      <c r="A79" t="s">
        <v>128</v>
      </c>
      <c r="B79" s="4">
        <v>45704</v>
      </c>
      <c r="C79" t="s">
        <v>25</v>
      </c>
      <c r="D79" t="s">
        <v>35</v>
      </c>
      <c r="E79" t="s">
        <v>40</v>
      </c>
      <c r="F79">
        <v>7</v>
      </c>
      <c r="G79" s="5">
        <v>130.4</v>
      </c>
      <c r="H79" s="6">
        <v>0.1</v>
      </c>
      <c r="I79" s="5">
        <v>821.52</v>
      </c>
      <c r="J79" s="5">
        <v>596.42999999999995</v>
      </c>
      <c r="K79" s="5">
        <v>225.09</v>
      </c>
      <c r="L79" t="s">
        <v>33</v>
      </c>
      <c r="M79" t="s">
        <v>92</v>
      </c>
    </row>
    <row r="80" spans="1:13" x14ac:dyDescent="0.3">
      <c r="A80" t="s">
        <v>129</v>
      </c>
      <c r="B80" s="4">
        <v>45704</v>
      </c>
      <c r="C80" t="s">
        <v>51</v>
      </c>
      <c r="D80" t="s">
        <v>35</v>
      </c>
      <c r="E80" t="s">
        <v>40</v>
      </c>
      <c r="F80">
        <v>8</v>
      </c>
      <c r="G80" s="5">
        <v>315.2</v>
      </c>
      <c r="H80" s="6">
        <v>0.1</v>
      </c>
      <c r="I80" s="5">
        <v>2269.44</v>
      </c>
      <c r="J80" s="5">
        <v>1582.56</v>
      </c>
      <c r="K80" s="5">
        <v>686.88</v>
      </c>
      <c r="L80" t="s">
        <v>28</v>
      </c>
      <c r="M80" t="s">
        <v>92</v>
      </c>
    </row>
    <row r="81" spans="1:13" x14ac:dyDescent="0.3">
      <c r="A81" t="s">
        <v>130</v>
      </c>
      <c r="B81" s="4">
        <v>45705</v>
      </c>
      <c r="C81" t="s">
        <v>51</v>
      </c>
      <c r="D81" t="s">
        <v>26</v>
      </c>
      <c r="E81" t="s">
        <v>65</v>
      </c>
      <c r="F81">
        <v>3</v>
      </c>
      <c r="G81" s="5">
        <v>3.01</v>
      </c>
      <c r="H81" s="6">
        <v>0.1</v>
      </c>
      <c r="I81" s="5">
        <v>8.1300000000000008</v>
      </c>
      <c r="J81" s="5">
        <v>5.65</v>
      </c>
      <c r="K81" s="5">
        <v>2.48</v>
      </c>
      <c r="L81" t="s">
        <v>28</v>
      </c>
      <c r="M81" t="s">
        <v>92</v>
      </c>
    </row>
    <row r="82" spans="1:13" x14ac:dyDescent="0.3">
      <c r="A82" t="s">
        <v>131</v>
      </c>
      <c r="B82" s="4">
        <v>45705</v>
      </c>
      <c r="C82" t="s">
        <v>31</v>
      </c>
      <c r="D82" t="s">
        <v>26</v>
      </c>
      <c r="E82" t="s">
        <v>68</v>
      </c>
      <c r="F82">
        <v>4</v>
      </c>
      <c r="G82" s="5">
        <v>5.08</v>
      </c>
      <c r="H82" s="6">
        <v>0</v>
      </c>
      <c r="I82" s="5">
        <v>20.32</v>
      </c>
      <c r="J82" s="5">
        <v>13.92</v>
      </c>
      <c r="K82" s="5">
        <v>6.4</v>
      </c>
      <c r="L82" t="s">
        <v>28</v>
      </c>
      <c r="M82" t="s">
        <v>92</v>
      </c>
    </row>
    <row r="83" spans="1:13" x14ac:dyDescent="0.3">
      <c r="A83" t="s">
        <v>132</v>
      </c>
      <c r="B83" s="4">
        <v>45706</v>
      </c>
      <c r="C83" t="s">
        <v>51</v>
      </c>
      <c r="D83" t="s">
        <v>26</v>
      </c>
      <c r="E83" t="s">
        <v>53</v>
      </c>
      <c r="F83">
        <v>3</v>
      </c>
      <c r="G83" s="5">
        <v>8.1</v>
      </c>
      <c r="H83" s="6">
        <v>0</v>
      </c>
      <c r="I83" s="5">
        <v>24.3</v>
      </c>
      <c r="J83" s="5">
        <v>16.670000000000002</v>
      </c>
      <c r="K83" s="5">
        <v>7.63</v>
      </c>
      <c r="L83" t="s">
        <v>37</v>
      </c>
      <c r="M83" t="s">
        <v>92</v>
      </c>
    </row>
    <row r="84" spans="1:13" x14ac:dyDescent="0.3">
      <c r="A84" t="s">
        <v>133</v>
      </c>
      <c r="B84" s="4">
        <v>45706</v>
      </c>
      <c r="C84" t="s">
        <v>51</v>
      </c>
      <c r="D84" t="s">
        <v>26</v>
      </c>
      <c r="E84" t="s">
        <v>32</v>
      </c>
      <c r="F84">
        <v>5</v>
      </c>
      <c r="G84" s="5">
        <v>11.97</v>
      </c>
      <c r="H84" s="6">
        <v>0.05</v>
      </c>
      <c r="I84" s="5">
        <v>56.86</v>
      </c>
      <c r="J84" s="5">
        <v>35.51</v>
      </c>
      <c r="K84" s="5">
        <v>21.35</v>
      </c>
      <c r="L84" t="s">
        <v>28</v>
      </c>
      <c r="M84" t="s">
        <v>92</v>
      </c>
    </row>
    <row r="85" spans="1:13" x14ac:dyDescent="0.3">
      <c r="A85" t="s">
        <v>134</v>
      </c>
      <c r="B85" s="4">
        <v>45709</v>
      </c>
      <c r="C85" t="s">
        <v>51</v>
      </c>
      <c r="D85" t="s">
        <v>42</v>
      </c>
      <c r="E85" t="s">
        <v>59</v>
      </c>
      <c r="F85">
        <v>7</v>
      </c>
      <c r="G85" s="5">
        <v>128.65</v>
      </c>
      <c r="H85" s="6">
        <v>0.05</v>
      </c>
      <c r="I85" s="5">
        <v>855.52</v>
      </c>
      <c r="J85" s="5">
        <v>723.63</v>
      </c>
      <c r="K85" s="5">
        <v>131.88999999999999</v>
      </c>
      <c r="L85" t="s">
        <v>33</v>
      </c>
      <c r="M85" t="s">
        <v>92</v>
      </c>
    </row>
    <row r="86" spans="1:13" x14ac:dyDescent="0.3">
      <c r="A86" t="s">
        <v>135</v>
      </c>
      <c r="B86" s="4">
        <v>45709</v>
      </c>
      <c r="C86" t="s">
        <v>25</v>
      </c>
      <c r="D86" t="s">
        <v>26</v>
      </c>
      <c r="E86" t="s">
        <v>27</v>
      </c>
      <c r="F86">
        <v>5</v>
      </c>
      <c r="G86" s="5">
        <v>17.09</v>
      </c>
      <c r="H86" s="6">
        <v>0.05</v>
      </c>
      <c r="I86" s="5">
        <v>81.180000000000007</v>
      </c>
      <c r="J86" s="5">
        <v>52.74</v>
      </c>
      <c r="K86" s="5">
        <v>28.44</v>
      </c>
      <c r="L86" t="s">
        <v>33</v>
      </c>
      <c r="M86" t="s">
        <v>92</v>
      </c>
    </row>
    <row r="87" spans="1:13" x14ac:dyDescent="0.3">
      <c r="A87" t="s">
        <v>136</v>
      </c>
      <c r="B87" s="4">
        <v>45709</v>
      </c>
      <c r="C87" t="s">
        <v>31</v>
      </c>
      <c r="D87" t="s">
        <v>42</v>
      </c>
      <c r="E87" t="s">
        <v>62</v>
      </c>
      <c r="F87">
        <v>2</v>
      </c>
      <c r="G87" s="5">
        <v>83.68</v>
      </c>
      <c r="H87" s="6">
        <v>0.15</v>
      </c>
      <c r="I87" s="5">
        <v>142.26</v>
      </c>
      <c r="J87" s="5">
        <v>127.33</v>
      </c>
      <c r="K87" s="5">
        <v>14.93</v>
      </c>
      <c r="L87" t="s">
        <v>28</v>
      </c>
      <c r="M87" t="s">
        <v>92</v>
      </c>
    </row>
    <row r="88" spans="1:13" x14ac:dyDescent="0.3">
      <c r="A88" t="s">
        <v>137</v>
      </c>
      <c r="B88" s="4">
        <v>45709</v>
      </c>
      <c r="C88" t="s">
        <v>25</v>
      </c>
      <c r="D88" t="s">
        <v>26</v>
      </c>
      <c r="E88" t="s">
        <v>27</v>
      </c>
      <c r="F88">
        <v>4</v>
      </c>
      <c r="G88" s="5">
        <v>18.63</v>
      </c>
      <c r="H88" s="6">
        <v>0.1</v>
      </c>
      <c r="I88" s="5">
        <v>67.069999999999993</v>
      </c>
      <c r="J88" s="5">
        <v>54.33</v>
      </c>
      <c r="K88" s="5">
        <v>12.74</v>
      </c>
      <c r="L88" t="s">
        <v>33</v>
      </c>
      <c r="M88" t="s">
        <v>92</v>
      </c>
    </row>
    <row r="89" spans="1:13" x14ac:dyDescent="0.3">
      <c r="A89" t="s">
        <v>138</v>
      </c>
      <c r="B89" s="4">
        <v>45709</v>
      </c>
      <c r="C89" t="s">
        <v>51</v>
      </c>
      <c r="D89" t="s">
        <v>42</v>
      </c>
      <c r="E89" t="s">
        <v>62</v>
      </c>
      <c r="F89">
        <v>4</v>
      </c>
      <c r="G89" s="5">
        <v>35.049999999999997</v>
      </c>
      <c r="H89" s="6">
        <v>0</v>
      </c>
      <c r="I89" s="5">
        <v>140.19999999999999</v>
      </c>
      <c r="J89" s="5">
        <v>102.5</v>
      </c>
      <c r="K89" s="5">
        <v>37.700000000000003</v>
      </c>
      <c r="L89" t="s">
        <v>28</v>
      </c>
      <c r="M89" t="s">
        <v>92</v>
      </c>
    </row>
    <row r="90" spans="1:13" x14ac:dyDescent="0.3">
      <c r="A90" t="s">
        <v>139</v>
      </c>
      <c r="B90" s="4">
        <v>45709</v>
      </c>
      <c r="C90" t="s">
        <v>51</v>
      </c>
      <c r="D90" t="s">
        <v>26</v>
      </c>
      <c r="E90" t="s">
        <v>68</v>
      </c>
      <c r="F90">
        <v>4</v>
      </c>
      <c r="G90" s="5">
        <v>10.18</v>
      </c>
      <c r="H90" s="6">
        <v>0.1</v>
      </c>
      <c r="I90" s="5">
        <v>36.65</v>
      </c>
      <c r="J90" s="5">
        <v>25.34</v>
      </c>
      <c r="K90" s="5">
        <v>11.31</v>
      </c>
      <c r="L90" t="s">
        <v>37</v>
      </c>
      <c r="M90" t="s">
        <v>92</v>
      </c>
    </row>
    <row r="91" spans="1:13" x14ac:dyDescent="0.3">
      <c r="A91" t="s">
        <v>140</v>
      </c>
      <c r="B91" s="4">
        <v>45710</v>
      </c>
      <c r="C91" t="s">
        <v>25</v>
      </c>
      <c r="D91" t="s">
        <v>26</v>
      </c>
      <c r="E91" t="s">
        <v>68</v>
      </c>
      <c r="F91">
        <v>2</v>
      </c>
      <c r="G91" s="5">
        <v>6.46</v>
      </c>
      <c r="H91" s="6">
        <v>0</v>
      </c>
      <c r="I91" s="5">
        <v>12.92</v>
      </c>
      <c r="J91" s="5">
        <v>8.2200000000000006</v>
      </c>
      <c r="K91" s="5">
        <v>4.7</v>
      </c>
      <c r="L91" t="s">
        <v>28</v>
      </c>
      <c r="M91" t="s">
        <v>92</v>
      </c>
    </row>
    <row r="92" spans="1:13" x14ac:dyDescent="0.3">
      <c r="A92" t="s">
        <v>141</v>
      </c>
      <c r="B92" s="4">
        <v>45710</v>
      </c>
      <c r="C92" t="s">
        <v>25</v>
      </c>
      <c r="D92" t="s">
        <v>35</v>
      </c>
      <c r="E92" t="s">
        <v>40</v>
      </c>
      <c r="F92">
        <v>3</v>
      </c>
      <c r="G92" s="5">
        <v>149.83000000000001</v>
      </c>
      <c r="H92" s="6">
        <v>0.2</v>
      </c>
      <c r="I92" s="5">
        <v>359.59</v>
      </c>
      <c r="J92" s="5">
        <v>328.95</v>
      </c>
      <c r="K92" s="5">
        <v>30.64</v>
      </c>
      <c r="L92" t="s">
        <v>28</v>
      </c>
      <c r="M92" t="s">
        <v>92</v>
      </c>
    </row>
    <row r="93" spans="1:13" x14ac:dyDescent="0.3">
      <c r="A93" t="s">
        <v>142</v>
      </c>
      <c r="B93" s="4">
        <v>45710</v>
      </c>
      <c r="C93" t="s">
        <v>39</v>
      </c>
      <c r="D93" t="s">
        <v>35</v>
      </c>
      <c r="E93" t="s">
        <v>103</v>
      </c>
      <c r="F93">
        <v>1</v>
      </c>
      <c r="G93" s="5">
        <v>75.459999999999994</v>
      </c>
      <c r="H93" s="6">
        <v>0</v>
      </c>
      <c r="I93" s="5">
        <v>75.459999999999994</v>
      </c>
      <c r="J93" s="5">
        <v>58.56</v>
      </c>
      <c r="K93" s="5">
        <v>16.899999999999999</v>
      </c>
      <c r="L93" t="s">
        <v>28</v>
      </c>
      <c r="M93" t="s">
        <v>92</v>
      </c>
    </row>
    <row r="94" spans="1:13" x14ac:dyDescent="0.3">
      <c r="A94" t="s">
        <v>143</v>
      </c>
      <c r="B94" s="4">
        <v>45711</v>
      </c>
      <c r="C94" t="s">
        <v>31</v>
      </c>
      <c r="D94" t="s">
        <v>42</v>
      </c>
      <c r="E94" t="s">
        <v>59</v>
      </c>
      <c r="F94">
        <v>6</v>
      </c>
      <c r="G94" s="5">
        <v>254.42</v>
      </c>
      <c r="H94" s="6">
        <v>0.2</v>
      </c>
      <c r="I94" s="5">
        <v>1221.22</v>
      </c>
      <c r="J94" s="5">
        <v>846.2</v>
      </c>
      <c r="K94" s="5">
        <v>375.02</v>
      </c>
      <c r="L94" t="s">
        <v>37</v>
      </c>
      <c r="M94" t="s">
        <v>92</v>
      </c>
    </row>
    <row r="95" spans="1:13" x14ac:dyDescent="0.3">
      <c r="A95" t="s">
        <v>144</v>
      </c>
      <c r="B95" s="4">
        <v>45712</v>
      </c>
      <c r="C95" t="s">
        <v>51</v>
      </c>
      <c r="D95" t="s">
        <v>26</v>
      </c>
      <c r="E95" t="s">
        <v>53</v>
      </c>
      <c r="F95">
        <v>3</v>
      </c>
      <c r="G95" s="5">
        <v>14.27</v>
      </c>
      <c r="H95" s="6">
        <v>0</v>
      </c>
      <c r="I95" s="5">
        <v>42.81</v>
      </c>
      <c r="J95" s="5">
        <v>32.590000000000003</v>
      </c>
      <c r="K95" s="5">
        <v>10.220000000000001</v>
      </c>
      <c r="L95" t="s">
        <v>28</v>
      </c>
      <c r="M95" t="s">
        <v>92</v>
      </c>
    </row>
    <row r="96" spans="1:13" x14ac:dyDescent="0.3">
      <c r="A96" t="s">
        <v>145</v>
      </c>
      <c r="B96" s="4">
        <v>45713</v>
      </c>
      <c r="C96" t="s">
        <v>25</v>
      </c>
      <c r="D96" t="s">
        <v>26</v>
      </c>
      <c r="E96" t="s">
        <v>53</v>
      </c>
      <c r="F96">
        <v>5</v>
      </c>
      <c r="G96" s="5">
        <v>9.8699999999999992</v>
      </c>
      <c r="H96" s="6">
        <v>0</v>
      </c>
      <c r="I96" s="5">
        <v>49.35</v>
      </c>
      <c r="J96" s="5">
        <v>34.76</v>
      </c>
      <c r="K96" s="5">
        <v>14.59</v>
      </c>
      <c r="L96" t="s">
        <v>37</v>
      </c>
      <c r="M96" t="s">
        <v>92</v>
      </c>
    </row>
    <row r="97" spans="1:13" x14ac:dyDescent="0.3">
      <c r="A97" t="s">
        <v>146</v>
      </c>
      <c r="B97" s="4">
        <v>45713</v>
      </c>
      <c r="C97" t="s">
        <v>31</v>
      </c>
      <c r="D97" t="s">
        <v>26</v>
      </c>
      <c r="E97" t="s">
        <v>68</v>
      </c>
      <c r="F97">
        <v>8</v>
      </c>
      <c r="G97" s="5">
        <v>9.26</v>
      </c>
      <c r="H97" s="6">
        <v>0</v>
      </c>
      <c r="I97" s="5">
        <v>74.08</v>
      </c>
      <c r="J97" s="5">
        <v>53.9</v>
      </c>
      <c r="K97" s="5">
        <v>20.18</v>
      </c>
      <c r="L97" t="s">
        <v>33</v>
      </c>
      <c r="M97" t="s">
        <v>92</v>
      </c>
    </row>
    <row r="98" spans="1:13" x14ac:dyDescent="0.3">
      <c r="A98" t="s">
        <v>147</v>
      </c>
      <c r="B98" s="4">
        <v>45713</v>
      </c>
      <c r="C98" t="s">
        <v>51</v>
      </c>
      <c r="D98" t="s">
        <v>26</v>
      </c>
      <c r="E98" t="s">
        <v>27</v>
      </c>
      <c r="F98">
        <v>1</v>
      </c>
      <c r="G98" s="5">
        <v>19.899999999999999</v>
      </c>
      <c r="H98" s="6">
        <v>0</v>
      </c>
      <c r="I98" s="5">
        <v>19.899999999999999</v>
      </c>
      <c r="J98" s="5">
        <v>11.81</v>
      </c>
      <c r="K98" s="5">
        <v>8.09</v>
      </c>
      <c r="L98" t="s">
        <v>37</v>
      </c>
      <c r="M98" t="s">
        <v>92</v>
      </c>
    </row>
    <row r="99" spans="1:13" x14ac:dyDescent="0.3">
      <c r="A99" t="s">
        <v>148</v>
      </c>
      <c r="B99" s="4">
        <v>45713</v>
      </c>
      <c r="C99" t="s">
        <v>39</v>
      </c>
      <c r="D99" t="s">
        <v>26</v>
      </c>
      <c r="E99" t="s">
        <v>68</v>
      </c>
      <c r="F99">
        <v>1</v>
      </c>
      <c r="G99" s="5">
        <v>3.48</v>
      </c>
      <c r="H99" s="6">
        <v>0.15</v>
      </c>
      <c r="I99" s="5">
        <v>2.96</v>
      </c>
      <c r="J99" s="5">
        <v>2.35</v>
      </c>
      <c r="K99" s="5">
        <v>0.61</v>
      </c>
      <c r="L99" t="s">
        <v>33</v>
      </c>
      <c r="M99" t="s">
        <v>92</v>
      </c>
    </row>
    <row r="100" spans="1:13" x14ac:dyDescent="0.3">
      <c r="A100" t="s">
        <v>149</v>
      </c>
      <c r="B100" s="4">
        <v>45714</v>
      </c>
      <c r="C100" t="s">
        <v>39</v>
      </c>
      <c r="D100" t="s">
        <v>42</v>
      </c>
      <c r="E100" t="s">
        <v>59</v>
      </c>
      <c r="F100">
        <v>1</v>
      </c>
      <c r="G100" s="5">
        <v>399.35</v>
      </c>
      <c r="H100" s="6">
        <v>0.15</v>
      </c>
      <c r="I100" s="5">
        <v>339.45</v>
      </c>
      <c r="J100" s="5">
        <v>313.43</v>
      </c>
      <c r="K100" s="5">
        <v>26.02</v>
      </c>
      <c r="L100" t="s">
        <v>28</v>
      </c>
      <c r="M100" t="s">
        <v>92</v>
      </c>
    </row>
    <row r="101" spans="1:13" x14ac:dyDescent="0.3">
      <c r="A101" t="s">
        <v>150</v>
      </c>
      <c r="B101" s="4">
        <v>45714</v>
      </c>
      <c r="C101" t="s">
        <v>31</v>
      </c>
      <c r="D101" t="s">
        <v>35</v>
      </c>
      <c r="E101" t="s">
        <v>45</v>
      </c>
      <c r="F101">
        <v>5</v>
      </c>
      <c r="G101" s="5">
        <v>228.37</v>
      </c>
      <c r="H101" s="6">
        <v>0.1</v>
      </c>
      <c r="I101" s="5">
        <v>1027.6600000000001</v>
      </c>
      <c r="J101" s="5">
        <v>705.95</v>
      </c>
      <c r="K101" s="5">
        <v>321.70999999999998</v>
      </c>
      <c r="L101" t="s">
        <v>28</v>
      </c>
      <c r="M101" t="s">
        <v>92</v>
      </c>
    </row>
    <row r="102" spans="1:13" x14ac:dyDescent="0.3">
      <c r="A102" t="s">
        <v>151</v>
      </c>
      <c r="B102" s="4">
        <v>45714</v>
      </c>
      <c r="C102" t="s">
        <v>25</v>
      </c>
      <c r="D102" t="s">
        <v>42</v>
      </c>
      <c r="E102" t="s">
        <v>59</v>
      </c>
      <c r="F102">
        <v>4</v>
      </c>
      <c r="G102" s="5">
        <v>384.79</v>
      </c>
      <c r="H102" s="6">
        <v>0.05</v>
      </c>
      <c r="I102" s="5">
        <v>1462.2</v>
      </c>
      <c r="J102" s="5">
        <v>1156.27</v>
      </c>
      <c r="K102" s="5">
        <v>305.93</v>
      </c>
      <c r="L102" t="s">
        <v>37</v>
      </c>
      <c r="M102" t="s">
        <v>92</v>
      </c>
    </row>
    <row r="103" spans="1:13" x14ac:dyDescent="0.3">
      <c r="A103" t="s">
        <v>152</v>
      </c>
      <c r="B103" s="4">
        <v>45716</v>
      </c>
      <c r="C103" t="s">
        <v>31</v>
      </c>
      <c r="D103" t="s">
        <v>42</v>
      </c>
      <c r="E103" t="s">
        <v>59</v>
      </c>
      <c r="F103">
        <v>5</v>
      </c>
      <c r="G103" s="5">
        <v>356.8</v>
      </c>
      <c r="H103" s="6">
        <v>0.05</v>
      </c>
      <c r="I103" s="5">
        <v>1694.8</v>
      </c>
      <c r="J103" s="5">
        <v>1378.71</v>
      </c>
      <c r="K103" s="5">
        <v>316.08999999999997</v>
      </c>
      <c r="L103" t="s">
        <v>37</v>
      </c>
      <c r="M103" t="s">
        <v>92</v>
      </c>
    </row>
    <row r="104" spans="1:13" x14ac:dyDescent="0.3">
      <c r="A104" t="s">
        <v>153</v>
      </c>
      <c r="B104" s="4">
        <v>45716</v>
      </c>
      <c r="C104" t="s">
        <v>31</v>
      </c>
      <c r="D104" t="s">
        <v>35</v>
      </c>
      <c r="E104" t="s">
        <v>103</v>
      </c>
      <c r="F104">
        <v>7</v>
      </c>
      <c r="G104" s="5">
        <v>95.49</v>
      </c>
      <c r="H104" s="6">
        <v>0.1</v>
      </c>
      <c r="I104" s="5">
        <v>601.59</v>
      </c>
      <c r="J104" s="5">
        <v>539.91</v>
      </c>
      <c r="K104" s="5">
        <v>61.68</v>
      </c>
      <c r="L104" t="s">
        <v>28</v>
      </c>
      <c r="M104" t="s">
        <v>92</v>
      </c>
    </row>
    <row r="105" spans="1:13" x14ac:dyDescent="0.3">
      <c r="A105" t="s">
        <v>154</v>
      </c>
      <c r="B105" s="4">
        <v>45716</v>
      </c>
      <c r="C105" t="s">
        <v>39</v>
      </c>
      <c r="D105" t="s">
        <v>42</v>
      </c>
      <c r="E105" t="s">
        <v>62</v>
      </c>
      <c r="F105">
        <v>4</v>
      </c>
      <c r="G105" s="5">
        <v>52.59</v>
      </c>
      <c r="H105" s="6">
        <v>0.1</v>
      </c>
      <c r="I105" s="5">
        <v>189.32</v>
      </c>
      <c r="J105" s="5">
        <v>144.22999999999999</v>
      </c>
      <c r="K105" s="5">
        <v>45.09</v>
      </c>
      <c r="L105" t="s">
        <v>37</v>
      </c>
      <c r="M105" t="s">
        <v>92</v>
      </c>
    </row>
    <row r="106" spans="1:13" x14ac:dyDescent="0.3">
      <c r="A106" t="s">
        <v>155</v>
      </c>
      <c r="B106" s="4">
        <v>45718</v>
      </c>
      <c r="C106" t="s">
        <v>51</v>
      </c>
      <c r="D106" t="s">
        <v>42</v>
      </c>
      <c r="E106" t="s">
        <v>72</v>
      </c>
      <c r="F106">
        <v>7</v>
      </c>
      <c r="G106" s="5">
        <v>1177.6500000000001</v>
      </c>
      <c r="H106" s="6">
        <v>0.15</v>
      </c>
      <c r="I106" s="5">
        <v>7007.02</v>
      </c>
      <c r="J106" s="5">
        <v>6687.28</v>
      </c>
      <c r="K106" s="5">
        <v>319.74</v>
      </c>
      <c r="L106" t="s">
        <v>33</v>
      </c>
      <c r="M106" t="s">
        <v>156</v>
      </c>
    </row>
    <row r="107" spans="1:13" x14ac:dyDescent="0.3">
      <c r="A107" t="s">
        <v>157</v>
      </c>
      <c r="B107" s="4">
        <v>45718</v>
      </c>
      <c r="C107" t="s">
        <v>39</v>
      </c>
      <c r="D107" t="s">
        <v>35</v>
      </c>
      <c r="E107" t="s">
        <v>103</v>
      </c>
      <c r="F107">
        <v>4</v>
      </c>
      <c r="G107" s="5">
        <v>180.22</v>
      </c>
      <c r="H107" s="6">
        <v>0</v>
      </c>
      <c r="I107" s="5">
        <v>720.88</v>
      </c>
      <c r="J107" s="5">
        <v>578.69000000000005</v>
      </c>
      <c r="K107" s="5">
        <v>142.19</v>
      </c>
      <c r="L107" t="s">
        <v>37</v>
      </c>
      <c r="M107" t="s">
        <v>156</v>
      </c>
    </row>
    <row r="108" spans="1:13" x14ac:dyDescent="0.3">
      <c r="A108" t="s">
        <v>158</v>
      </c>
      <c r="B108" s="4">
        <v>45718</v>
      </c>
      <c r="C108" t="s">
        <v>25</v>
      </c>
      <c r="D108" t="s">
        <v>35</v>
      </c>
      <c r="E108" t="s">
        <v>45</v>
      </c>
      <c r="F108">
        <v>4</v>
      </c>
      <c r="G108" s="5">
        <v>277.47000000000003</v>
      </c>
      <c r="H108" s="6">
        <v>0.15</v>
      </c>
      <c r="I108" s="5">
        <v>943.4</v>
      </c>
      <c r="J108" s="5">
        <v>606.04</v>
      </c>
      <c r="K108" s="5">
        <v>337.36</v>
      </c>
      <c r="L108" t="s">
        <v>33</v>
      </c>
      <c r="M108" t="s">
        <v>156</v>
      </c>
    </row>
    <row r="109" spans="1:13" x14ac:dyDescent="0.3">
      <c r="A109" t="s">
        <v>159</v>
      </c>
      <c r="B109" s="4">
        <v>45718</v>
      </c>
      <c r="C109" t="s">
        <v>25</v>
      </c>
      <c r="D109" t="s">
        <v>26</v>
      </c>
      <c r="E109" t="s">
        <v>68</v>
      </c>
      <c r="F109">
        <v>4</v>
      </c>
      <c r="G109" s="5">
        <v>2.36</v>
      </c>
      <c r="H109" s="6">
        <v>0.05</v>
      </c>
      <c r="I109" s="5">
        <v>8.9700000000000006</v>
      </c>
      <c r="J109" s="5">
        <v>7.72</v>
      </c>
      <c r="K109" s="5">
        <v>1.25</v>
      </c>
      <c r="L109" t="s">
        <v>37</v>
      </c>
      <c r="M109" t="s">
        <v>156</v>
      </c>
    </row>
    <row r="110" spans="1:13" x14ac:dyDescent="0.3">
      <c r="A110" t="s">
        <v>160</v>
      </c>
      <c r="B110" s="4">
        <v>45718</v>
      </c>
      <c r="C110" t="s">
        <v>51</v>
      </c>
      <c r="D110" t="s">
        <v>35</v>
      </c>
      <c r="E110" t="s">
        <v>40</v>
      </c>
      <c r="F110">
        <v>3</v>
      </c>
      <c r="G110" s="5">
        <v>320.73</v>
      </c>
      <c r="H110" s="6">
        <v>0</v>
      </c>
      <c r="I110" s="5">
        <v>962.19</v>
      </c>
      <c r="J110" s="5">
        <v>718.01</v>
      </c>
      <c r="K110" s="5">
        <v>244.18</v>
      </c>
      <c r="L110" t="s">
        <v>33</v>
      </c>
      <c r="M110" t="s">
        <v>156</v>
      </c>
    </row>
    <row r="111" spans="1:13" x14ac:dyDescent="0.3">
      <c r="A111" t="s">
        <v>161</v>
      </c>
      <c r="B111" s="4">
        <v>45718</v>
      </c>
      <c r="C111" t="s">
        <v>31</v>
      </c>
      <c r="D111" t="s">
        <v>26</v>
      </c>
      <c r="E111" t="s">
        <v>32</v>
      </c>
      <c r="F111">
        <v>1</v>
      </c>
      <c r="G111" s="5">
        <v>12.02</v>
      </c>
      <c r="H111" s="6">
        <v>0.1</v>
      </c>
      <c r="I111" s="5">
        <v>10.82</v>
      </c>
      <c r="J111" s="5">
        <v>7.28</v>
      </c>
      <c r="K111" s="5">
        <v>3.54</v>
      </c>
      <c r="L111" t="s">
        <v>33</v>
      </c>
      <c r="M111" t="s">
        <v>156</v>
      </c>
    </row>
    <row r="112" spans="1:13" x14ac:dyDescent="0.3">
      <c r="A112" t="s">
        <v>162</v>
      </c>
      <c r="B112" s="4">
        <v>45720</v>
      </c>
      <c r="C112" t="s">
        <v>39</v>
      </c>
      <c r="D112" t="s">
        <v>26</v>
      </c>
      <c r="E112" t="s">
        <v>32</v>
      </c>
      <c r="F112">
        <v>1</v>
      </c>
      <c r="G112" s="5">
        <v>16.079999999999998</v>
      </c>
      <c r="H112" s="6">
        <v>0.1</v>
      </c>
      <c r="I112" s="5">
        <v>14.47</v>
      </c>
      <c r="J112" s="5">
        <v>9.01</v>
      </c>
      <c r="K112" s="5">
        <v>5.46</v>
      </c>
      <c r="L112" t="s">
        <v>28</v>
      </c>
      <c r="M112" t="s">
        <v>156</v>
      </c>
    </row>
    <row r="113" spans="1:13" x14ac:dyDescent="0.3">
      <c r="A113" t="s">
        <v>163</v>
      </c>
      <c r="B113" s="4">
        <v>45721</v>
      </c>
      <c r="C113" t="s">
        <v>51</v>
      </c>
      <c r="D113" t="s">
        <v>26</v>
      </c>
      <c r="E113" t="s">
        <v>32</v>
      </c>
      <c r="F113">
        <v>8</v>
      </c>
      <c r="G113" s="5">
        <v>9.91</v>
      </c>
      <c r="H113" s="6">
        <v>0.1</v>
      </c>
      <c r="I113" s="5">
        <v>71.349999999999994</v>
      </c>
      <c r="J113" s="5">
        <v>63.08</v>
      </c>
      <c r="K113" s="5">
        <v>8.27</v>
      </c>
      <c r="L113" t="s">
        <v>33</v>
      </c>
      <c r="M113" t="s">
        <v>156</v>
      </c>
    </row>
    <row r="114" spans="1:13" x14ac:dyDescent="0.3">
      <c r="A114" t="s">
        <v>164</v>
      </c>
      <c r="B114" s="4">
        <v>45721</v>
      </c>
      <c r="C114" t="s">
        <v>25</v>
      </c>
      <c r="D114" t="s">
        <v>35</v>
      </c>
      <c r="E114" t="s">
        <v>103</v>
      </c>
      <c r="F114">
        <v>1</v>
      </c>
      <c r="G114" s="5">
        <v>179.86</v>
      </c>
      <c r="H114" s="6">
        <v>0.15</v>
      </c>
      <c r="I114" s="5">
        <v>152.88</v>
      </c>
      <c r="J114" s="5">
        <v>129.41999999999999</v>
      </c>
      <c r="K114" s="5">
        <v>23.46</v>
      </c>
      <c r="L114" t="s">
        <v>33</v>
      </c>
      <c r="M114" t="s">
        <v>156</v>
      </c>
    </row>
    <row r="115" spans="1:13" x14ac:dyDescent="0.3">
      <c r="A115" t="s">
        <v>165</v>
      </c>
      <c r="B115" s="4">
        <v>45721</v>
      </c>
      <c r="C115" t="s">
        <v>39</v>
      </c>
      <c r="D115" t="s">
        <v>26</v>
      </c>
      <c r="E115" t="s">
        <v>68</v>
      </c>
      <c r="F115">
        <v>4</v>
      </c>
      <c r="G115" s="5">
        <v>9.56</v>
      </c>
      <c r="H115" s="6">
        <v>0.05</v>
      </c>
      <c r="I115" s="5">
        <v>36.33</v>
      </c>
      <c r="J115" s="5">
        <v>24.35</v>
      </c>
      <c r="K115" s="5">
        <v>11.98</v>
      </c>
      <c r="L115" t="s">
        <v>28</v>
      </c>
      <c r="M115" t="s">
        <v>156</v>
      </c>
    </row>
    <row r="116" spans="1:13" x14ac:dyDescent="0.3">
      <c r="A116" t="s">
        <v>166</v>
      </c>
      <c r="B116" s="4">
        <v>45722</v>
      </c>
      <c r="C116" t="s">
        <v>31</v>
      </c>
      <c r="D116" t="s">
        <v>42</v>
      </c>
      <c r="E116" t="s">
        <v>59</v>
      </c>
      <c r="F116">
        <v>5</v>
      </c>
      <c r="G116" s="5">
        <v>146.33000000000001</v>
      </c>
      <c r="H116" s="6">
        <v>0.15</v>
      </c>
      <c r="I116" s="5">
        <v>621.9</v>
      </c>
      <c r="J116" s="5">
        <v>544.75</v>
      </c>
      <c r="K116" s="5">
        <v>77.150000000000006</v>
      </c>
      <c r="L116" t="s">
        <v>37</v>
      </c>
      <c r="M116" t="s">
        <v>156</v>
      </c>
    </row>
    <row r="117" spans="1:13" x14ac:dyDescent="0.3">
      <c r="A117" t="s">
        <v>167</v>
      </c>
      <c r="B117" s="4">
        <v>45723</v>
      </c>
      <c r="C117" t="s">
        <v>39</v>
      </c>
      <c r="D117" t="s">
        <v>42</v>
      </c>
      <c r="E117" t="s">
        <v>59</v>
      </c>
      <c r="F117">
        <v>8</v>
      </c>
      <c r="G117" s="5">
        <v>178.51</v>
      </c>
      <c r="H117" s="6">
        <v>0</v>
      </c>
      <c r="I117" s="5">
        <v>1428.08</v>
      </c>
      <c r="J117" s="5">
        <v>988.36</v>
      </c>
      <c r="K117" s="5">
        <v>439.72</v>
      </c>
      <c r="L117" t="s">
        <v>37</v>
      </c>
      <c r="M117" t="s">
        <v>156</v>
      </c>
    </row>
    <row r="118" spans="1:13" x14ac:dyDescent="0.3">
      <c r="A118" t="s">
        <v>168</v>
      </c>
      <c r="B118" s="4">
        <v>45723</v>
      </c>
      <c r="C118" t="s">
        <v>39</v>
      </c>
      <c r="D118" t="s">
        <v>26</v>
      </c>
      <c r="E118" t="s">
        <v>53</v>
      </c>
      <c r="F118">
        <v>4</v>
      </c>
      <c r="G118" s="5">
        <v>18.18</v>
      </c>
      <c r="H118" s="6">
        <v>0.15</v>
      </c>
      <c r="I118" s="5">
        <v>61.81</v>
      </c>
      <c r="J118" s="5">
        <v>59.43</v>
      </c>
      <c r="K118" s="5">
        <v>2.38</v>
      </c>
      <c r="L118" t="s">
        <v>28</v>
      </c>
      <c r="M118" t="s">
        <v>156</v>
      </c>
    </row>
    <row r="119" spans="1:13" x14ac:dyDescent="0.3">
      <c r="A119" t="s">
        <v>169</v>
      </c>
      <c r="B119" s="4">
        <v>45723</v>
      </c>
      <c r="C119" t="s">
        <v>25</v>
      </c>
      <c r="D119" t="s">
        <v>26</v>
      </c>
      <c r="E119" t="s">
        <v>65</v>
      </c>
      <c r="F119">
        <v>2</v>
      </c>
      <c r="G119" s="5">
        <v>19.489999999999998</v>
      </c>
      <c r="H119" s="6">
        <v>0</v>
      </c>
      <c r="I119" s="5">
        <v>38.979999999999997</v>
      </c>
      <c r="J119" s="5">
        <v>27.19</v>
      </c>
      <c r="K119" s="5">
        <v>11.79</v>
      </c>
      <c r="L119" t="s">
        <v>33</v>
      </c>
      <c r="M119" t="s">
        <v>156</v>
      </c>
    </row>
    <row r="120" spans="1:13" x14ac:dyDescent="0.3">
      <c r="A120" t="s">
        <v>170</v>
      </c>
      <c r="B120" s="4">
        <v>45724</v>
      </c>
      <c r="C120" t="s">
        <v>51</v>
      </c>
      <c r="D120" t="s">
        <v>42</v>
      </c>
      <c r="E120" t="s">
        <v>43</v>
      </c>
      <c r="F120">
        <v>1</v>
      </c>
      <c r="G120" s="5">
        <v>28.95</v>
      </c>
      <c r="H120" s="6">
        <v>0.1</v>
      </c>
      <c r="I120" s="5">
        <v>26.05</v>
      </c>
      <c r="J120" s="5">
        <v>15.68</v>
      </c>
      <c r="K120" s="5">
        <v>10.37</v>
      </c>
      <c r="L120" t="s">
        <v>28</v>
      </c>
      <c r="M120" t="s">
        <v>156</v>
      </c>
    </row>
    <row r="121" spans="1:13" x14ac:dyDescent="0.3">
      <c r="A121" t="s">
        <v>171</v>
      </c>
      <c r="B121" s="4">
        <v>45724</v>
      </c>
      <c r="C121" t="s">
        <v>31</v>
      </c>
      <c r="D121" t="s">
        <v>26</v>
      </c>
      <c r="E121" t="s">
        <v>65</v>
      </c>
      <c r="F121">
        <v>4</v>
      </c>
      <c r="G121" s="5">
        <v>6.65</v>
      </c>
      <c r="H121" s="6">
        <v>0.1</v>
      </c>
      <c r="I121" s="5">
        <v>23.94</v>
      </c>
      <c r="J121" s="5">
        <v>19.86</v>
      </c>
      <c r="K121" s="5">
        <v>4.08</v>
      </c>
      <c r="L121" t="s">
        <v>37</v>
      </c>
      <c r="M121" t="s">
        <v>156</v>
      </c>
    </row>
    <row r="122" spans="1:13" x14ac:dyDescent="0.3">
      <c r="A122" t="s">
        <v>172</v>
      </c>
      <c r="B122" s="4">
        <v>45724</v>
      </c>
      <c r="C122" t="s">
        <v>25</v>
      </c>
      <c r="D122" t="s">
        <v>42</v>
      </c>
      <c r="E122" t="s">
        <v>62</v>
      </c>
      <c r="F122">
        <v>8</v>
      </c>
      <c r="G122" s="5">
        <v>98</v>
      </c>
      <c r="H122" s="6">
        <v>0</v>
      </c>
      <c r="I122" s="5">
        <v>784</v>
      </c>
      <c r="J122" s="5">
        <v>578.14</v>
      </c>
      <c r="K122" s="5">
        <v>205.86</v>
      </c>
      <c r="L122" t="s">
        <v>28</v>
      </c>
      <c r="M122" t="s">
        <v>156</v>
      </c>
    </row>
    <row r="123" spans="1:13" x14ac:dyDescent="0.3">
      <c r="A123" t="s">
        <v>173</v>
      </c>
      <c r="B123" s="4">
        <v>45726</v>
      </c>
      <c r="C123" t="s">
        <v>39</v>
      </c>
      <c r="D123" t="s">
        <v>26</v>
      </c>
      <c r="E123" t="s">
        <v>27</v>
      </c>
      <c r="F123">
        <v>4</v>
      </c>
      <c r="G123" s="5">
        <v>22.24</v>
      </c>
      <c r="H123" s="6">
        <v>0.15</v>
      </c>
      <c r="I123" s="5">
        <v>75.62</v>
      </c>
      <c r="J123" s="5">
        <v>56.12</v>
      </c>
      <c r="K123" s="5">
        <v>19.5</v>
      </c>
      <c r="L123" t="s">
        <v>37</v>
      </c>
      <c r="M123" t="s">
        <v>156</v>
      </c>
    </row>
    <row r="124" spans="1:13" x14ac:dyDescent="0.3">
      <c r="A124" t="s">
        <v>174</v>
      </c>
      <c r="B124" s="4">
        <v>45727</v>
      </c>
      <c r="C124" t="s">
        <v>25</v>
      </c>
      <c r="D124" t="s">
        <v>26</v>
      </c>
      <c r="E124" t="s">
        <v>68</v>
      </c>
      <c r="F124">
        <v>4</v>
      </c>
      <c r="G124" s="5">
        <v>7.29</v>
      </c>
      <c r="H124" s="6">
        <v>0.15</v>
      </c>
      <c r="I124" s="5">
        <v>24.79</v>
      </c>
      <c r="J124" s="5">
        <v>21.82</v>
      </c>
      <c r="K124" s="5">
        <v>2.97</v>
      </c>
      <c r="L124" t="s">
        <v>28</v>
      </c>
      <c r="M124" t="s">
        <v>156</v>
      </c>
    </row>
    <row r="125" spans="1:13" x14ac:dyDescent="0.3">
      <c r="A125" t="s">
        <v>175</v>
      </c>
      <c r="B125" s="4">
        <v>45728</v>
      </c>
      <c r="C125" t="s">
        <v>51</v>
      </c>
      <c r="D125" t="s">
        <v>26</v>
      </c>
      <c r="E125" t="s">
        <v>32</v>
      </c>
      <c r="F125">
        <v>7</v>
      </c>
      <c r="G125" s="5">
        <v>15.96</v>
      </c>
      <c r="H125" s="6">
        <v>0.1</v>
      </c>
      <c r="I125" s="5">
        <v>100.55</v>
      </c>
      <c r="J125" s="5">
        <v>69.63</v>
      </c>
      <c r="K125" s="5">
        <v>30.92</v>
      </c>
      <c r="L125" t="s">
        <v>28</v>
      </c>
      <c r="M125" t="s">
        <v>156</v>
      </c>
    </row>
    <row r="126" spans="1:13" x14ac:dyDescent="0.3">
      <c r="A126" t="s">
        <v>176</v>
      </c>
      <c r="B126" s="4">
        <v>45729</v>
      </c>
      <c r="C126" t="s">
        <v>39</v>
      </c>
      <c r="D126" t="s">
        <v>26</v>
      </c>
      <c r="E126" t="s">
        <v>53</v>
      </c>
      <c r="F126">
        <v>5</v>
      </c>
      <c r="G126" s="5">
        <v>9.81</v>
      </c>
      <c r="H126" s="6">
        <v>0</v>
      </c>
      <c r="I126" s="5">
        <v>49.05</v>
      </c>
      <c r="J126" s="5">
        <v>37.51</v>
      </c>
      <c r="K126" s="5">
        <v>11.54</v>
      </c>
      <c r="L126" t="s">
        <v>37</v>
      </c>
      <c r="M126" t="s">
        <v>156</v>
      </c>
    </row>
    <row r="127" spans="1:13" x14ac:dyDescent="0.3">
      <c r="A127" t="s">
        <v>177</v>
      </c>
      <c r="B127" s="4">
        <v>45729</v>
      </c>
      <c r="C127" t="s">
        <v>25</v>
      </c>
      <c r="D127" t="s">
        <v>26</v>
      </c>
      <c r="E127" t="s">
        <v>53</v>
      </c>
      <c r="F127">
        <v>2</v>
      </c>
      <c r="G127" s="5">
        <v>16.86</v>
      </c>
      <c r="H127" s="6">
        <v>0</v>
      </c>
      <c r="I127" s="5">
        <v>33.72</v>
      </c>
      <c r="J127" s="5">
        <v>19.13</v>
      </c>
      <c r="K127" s="5">
        <v>14.59</v>
      </c>
      <c r="L127" t="s">
        <v>33</v>
      </c>
      <c r="M127" t="s">
        <v>156</v>
      </c>
    </row>
    <row r="128" spans="1:13" x14ac:dyDescent="0.3">
      <c r="A128" t="s">
        <v>178</v>
      </c>
      <c r="B128" s="4">
        <v>45729</v>
      </c>
      <c r="C128" t="s">
        <v>51</v>
      </c>
      <c r="D128" t="s">
        <v>42</v>
      </c>
      <c r="E128" t="s">
        <v>72</v>
      </c>
      <c r="F128">
        <v>8</v>
      </c>
      <c r="G128" s="5">
        <v>570.25</v>
      </c>
      <c r="H128" s="6">
        <v>0.1</v>
      </c>
      <c r="I128" s="5">
        <v>4105.8</v>
      </c>
      <c r="J128" s="5">
        <v>3454.62</v>
      </c>
      <c r="K128" s="5">
        <v>651.17999999999995</v>
      </c>
      <c r="L128" t="s">
        <v>37</v>
      </c>
      <c r="M128" t="s">
        <v>156</v>
      </c>
    </row>
    <row r="129" spans="1:13" x14ac:dyDescent="0.3">
      <c r="A129" t="s">
        <v>179</v>
      </c>
      <c r="B129" s="4">
        <v>45730</v>
      </c>
      <c r="C129" t="s">
        <v>31</v>
      </c>
      <c r="D129" t="s">
        <v>35</v>
      </c>
      <c r="E129" t="s">
        <v>47</v>
      </c>
      <c r="F129">
        <v>5</v>
      </c>
      <c r="G129" s="5">
        <v>224.42</v>
      </c>
      <c r="H129" s="6">
        <v>0.1</v>
      </c>
      <c r="I129" s="5">
        <v>1009.89</v>
      </c>
      <c r="J129" s="5">
        <v>637.17999999999995</v>
      </c>
      <c r="K129" s="5">
        <v>372.71</v>
      </c>
      <c r="L129" t="s">
        <v>37</v>
      </c>
      <c r="M129" t="s">
        <v>156</v>
      </c>
    </row>
    <row r="130" spans="1:13" x14ac:dyDescent="0.3">
      <c r="A130" t="s">
        <v>180</v>
      </c>
      <c r="B130" s="4">
        <v>45730</v>
      </c>
      <c r="C130" t="s">
        <v>25</v>
      </c>
      <c r="D130" t="s">
        <v>35</v>
      </c>
      <c r="E130" t="s">
        <v>103</v>
      </c>
      <c r="F130">
        <v>5</v>
      </c>
      <c r="G130" s="5">
        <v>121.68</v>
      </c>
      <c r="H130" s="6">
        <v>0.15</v>
      </c>
      <c r="I130" s="5">
        <v>517.14</v>
      </c>
      <c r="J130" s="5">
        <v>389.23</v>
      </c>
      <c r="K130" s="5">
        <v>127.91</v>
      </c>
      <c r="L130" t="s">
        <v>37</v>
      </c>
      <c r="M130" t="s">
        <v>156</v>
      </c>
    </row>
    <row r="131" spans="1:13" x14ac:dyDescent="0.3">
      <c r="A131" t="s">
        <v>181</v>
      </c>
      <c r="B131" s="4">
        <v>45731</v>
      </c>
      <c r="C131" t="s">
        <v>25</v>
      </c>
      <c r="D131" t="s">
        <v>26</v>
      </c>
      <c r="E131" t="s">
        <v>68</v>
      </c>
      <c r="F131">
        <v>3</v>
      </c>
      <c r="G131" s="5">
        <v>7.88</v>
      </c>
      <c r="H131" s="6">
        <v>0.1</v>
      </c>
      <c r="I131" s="5">
        <v>21.28</v>
      </c>
      <c r="J131" s="5">
        <v>15.43</v>
      </c>
      <c r="K131" s="5">
        <v>5.85</v>
      </c>
      <c r="L131" t="s">
        <v>28</v>
      </c>
      <c r="M131" t="s">
        <v>156</v>
      </c>
    </row>
    <row r="132" spans="1:13" x14ac:dyDescent="0.3">
      <c r="A132" t="s">
        <v>182</v>
      </c>
      <c r="B132" s="4">
        <v>45731</v>
      </c>
      <c r="C132" t="s">
        <v>39</v>
      </c>
      <c r="D132" t="s">
        <v>26</v>
      </c>
      <c r="E132" t="s">
        <v>53</v>
      </c>
      <c r="F132">
        <v>2</v>
      </c>
      <c r="G132" s="5">
        <v>12.88</v>
      </c>
      <c r="H132" s="6">
        <v>0</v>
      </c>
      <c r="I132" s="5">
        <v>25.76</v>
      </c>
      <c r="J132" s="5">
        <v>14.44</v>
      </c>
      <c r="K132" s="5">
        <v>11.32</v>
      </c>
      <c r="L132" t="s">
        <v>37</v>
      </c>
      <c r="M132" t="s">
        <v>156</v>
      </c>
    </row>
    <row r="133" spans="1:13" x14ac:dyDescent="0.3">
      <c r="A133" t="s">
        <v>183</v>
      </c>
      <c r="B133" s="4">
        <v>45731</v>
      </c>
      <c r="C133" t="s">
        <v>51</v>
      </c>
      <c r="D133" t="s">
        <v>26</v>
      </c>
      <c r="E133" t="s">
        <v>65</v>
      </c>
      <c r="F133">
        <v>7</v>
      </c>
      <c r="G133" s="5">
        <v>9.0399999999999991</v>
      </c>
      <c r="H133" s="6">
        <v>0.05</v>
      </c>
      <c r="I133" s="5">
        <v>60.12</v>
      </c>
      <c r="J133" s="5">
        <v>36.090000000000003</v>
      </c>
      <c r="K133" s="5">
        <v>24.03</v>
      </c>
      <c r="L133" t="s">
        <v>28</v>
      </c>
      <c r="M133" t="s">
        <v>156</v>
      </c>
    </row>
    <row r="134" spans="1:13" x14ac:dyDescent="0.3">
      <c r="A134" t="s">
        <v>184</v>
      </c>
      <c r="B134" s="4">
        <v>45736</v>
      </c>
      <c r="C134" t="s">
        <v>39</v>
      </c>
      <c r="D134" t="s">
        <v>42</v>
      </c>
      <c r="E134" t="s">
        <v>59</v>
      </c>
      <c r="F134">
        <v>2</v>
      </c>
      <c r="G134" s="5">
        <v>120.16</v>
      </c>
      <c r="H134" s="6">
        <v>0.05</v>
      </c>
      <c r="I134" s="5">
        <v>228.3</v>
      </c>
      <c r="J134" s="5">
        <v>180.43</v>
      </c>
      <c r="K134" s="5">
        <v>47.87</v>
      </c>
      <c r="L134" t="s">
        <v>28</v>
      </c>
      <c r="M134" t="s">
        <v>156</v>
      </c>
    </row>
    <row r="135" spans="1:13" x14ac:dyDescent="0.3">
      <c r="A135" t="s">
        <v>185</v>
      </c>
      <c r="B135" s="4">
        <v>45739</v>
      </c>
      <c r="C135" t="s">
        <v>39</v>
      </c>
      <c r="D135" t="s">
        <v>42</v>
      </c>
      <c r="E135" t="s">
        <v>62</v>
      </c>
      <c r="F135">
        <v>6</v>
      </c>
      <c r="G135" s="5">
        <v>37.76</v>
      </c>
      <c r="H135" s="6">
        <v>0.05</v>
      </c>
      <c r="I135" s="5">
        <v>215.23</v>
      </c>
      <c r="J135" s="5">
        <v>149.27000000000001</v>
      </c>
      <c r="K135" s="5">
        <v>65.959999999999994</v>
      </c>
      <c r="L135" t="s">
        <v>28</v>
      </c>
      <c r="M135" t="s">
        <v>156</v>
      </c>
    </row>
    <row r="136" spans="1:13" x14ac:dyDescent="0.3">
      <c r="A136" t="s">
        <v>186</v>
      </c>
      <c r="B136" s="4">
        <v>45740</v>
      </c>
      <c r="C136" t="s">
        <v>31</v>
      </c>
      <c r="D136" t="s">
        <v>35</v>
      </c>
      <c r="E136" t="s">
        <v>45</v>
      </c>
      <c r="F136">
        <v>8</v>
      </c>
      <c r="G136" s="5">
        <v>270.64999999999998</v>
      </c>
      <c r="H136" s="6">
        <v>0</v>
      </c>
      <c r="I136" s="5">
        <v>2165.1999999999998</v>
      </c>
      <c r="J136" s="5">
        <v>1210.93</v>
      </c>
      <c r="K136" s="5">
        <v>954.27</v>
      </c>
      <c r="L136" t="s">
        <v>33</v>
      </c>
      <c r="M136" t="s">
        <v>156</v>
      </c>
    </row>
    <row r="137" spans="1:13" x14ac:dyDescent="0.3">
      <c r="A137" t="s">
        <v>187</v>
      </c>
      <c r="B137" s="4">
        <v>45740</v>
      </c>
      <c r="C137" t="s">
        <v>51</v>
      </c>
      <c r="D137" t="s">
        <v>26</v>
      </c>
      <c r="E137" t="s">
        <v>32</v>
      </c>
      <c r="F137">
        <v>1</v>
      </c>
      <c r="G137" s="5">
        <v>15.16</v>
      </c>
      <c r="H137" s="6">
        <v>0.05</v>
      </c>
      <c r="I137" s="5">
        <v>14.4</v>
      </c>
      <c r="J137" s="5">
        <v>10.45</v>
      </c>
      <c r="K137" s="5">
        <v>3.95</v>
      </c>
      <c r="L137" t="s">
        <v>28</v>
      </c>
      <c r="M137" t="s">
        <v>156</v>
      </c>
    </row>
    <row r="138" spans="1:13" x14ac:dyDescent="0.3">
      <c r="A138" t="s">
        <v>188</v>
      </c>
      <c r="B138" s="4">
        <v>45741</v>
      </c>
      <c r="C138" t="s">
        <v>31</v>
      </c>
      <c r="D138" t="s">
        <v>26</v>
      </c>
      <c r="E138" t="s">
        <v>65</v>
      </c>
      <c r="F138">
        <v>8</v>
      </c>
      <c r="G138" s="5">
        <v>8.26</v>
      </c>
      <c r="H138" s="6">
        <v>0</v>
      </c>
      <c r="I138" s="5">
        <v>66.08</v>
      </c>
      <c r="J138" s="5">
        <v>36.04</v>
      </c>
      <c r="K138" s="5">
        <v>30.04</v>
      </c>
      <c r="L138" t="s">
        <v>33</v>
      </c>
      <c r="M138" t="s">
        <v>156</v>
      </c>
    </row>
    <row r="139" spans="1:13" x14ac:dyDescent="0.3">
      <c r="A139" t="s">
        <v>189</v>
      </c>
      <c r="B139" s="4">
        <v>45741</v>
      </c>
      <c r="C139" t="s">
        <v>39</v>
      </c>
      <c r="D139" t="s">
        <v>26</v>
      </c>
      <c r="E139" t="s">
        <v>32</v>
      </c>
      <c r="F139">
        <v>2</v>
      </c>
      <c r="G139" s="5">
        <v>4.46</v>
      </c>
      <c r="H139" s="6">
        <v>0.1</v>
      </c>
      <c r="I139" s="5">
        <v>8.0299999999999994</v>
      </c>
      <c r="J139" s="5">
        <v>6.73</v>
      </c>
      <c r="K139" s="5">
        <v>1.3</v>
      </c>
      <c r="L139" t="s">
        <v>33</v>
      </c>
      <c r="M139" t="s">
        <v>156</v>
      </c>
    </row>
    <row r="140" spans="1:13" x14ac:dyDescent="0.3">
      <c r="A140" t="s">
        <v>190</v>
      </c>
      <c r="B140" s="4">
        <v>45742</v>
      </c>
      <c r="C140" t="s">
        <v>39</v>
      </c>
      <c r="D140" t="s">
        <v>42</v>
      </c>
      <c r="E140" t="s">
        <v>59</v>
      </c>
      <c r="F140">
        <v>5</v>
      </c>
      <c r="G140" s="5">
        <v>257.64999999999998</v>
      </c>
      <c r="H140" s="6">
        <v>0.15</v>
      </c>
      <c r="I140" s="5">
        <v>1095.01</v>
      </c>
      <c r="J140" s="5">
        <v>1015.85</v>
      </c>
      <c r="K140" s="5">
        <v>79.16</v>
      </c>
      <c r="L140" t="s">
        <v>28</v>
      </c>
      <c r="M140" t="s">
        <v>156</v>
      </c>
    </row>
    <row r="141" spans="1:13" x14ac:dyDescent="0.3">
      <c r="A141" t="s">
        <v>191</v>
      </c>
      <c r="B141" s="4">
        <v>45742</v>
      </c>
      <c r="C141" t="s">
        <v>39</v>
      </c>
      <c r="D141" t="s">
        <v>26</v>
      </c>
      <c r="E141" t="s">
        <v>65</v>
      </c>
      <c r="F141">
        <v>6</v>
      </c>
      <c r="G141" s="5">
        <v>6.45</v>
      </c>
      <c r="H141" s="6">
        <v>0.1</v>
      </c>
      <c r="I141" s="5">
        <v>34.83</v>
      </c>
      <c r="J141" s="5">
        <v>26.5</v>
      </c>
      <c r="K141" s="5">
        <v>8.33</v>
      </c>
      <c r="L141" t="s">
        <v>37</v>
      </c>
      <c r="M141" t="s">
        <v>156</v>
      </c>
    </row>
    <row r="142" spans="1:13" x14ac:dyDescent="0.3">
      <c r="A142" t="s">
        <v>192</v>
      </c>
      <c r="B142" s="4">
        <v>45743</v>
      </c>
      <c r="C142" t="s">
        <v>51</v>
      </c>
      <c r="D142" t="s">
        <v>35</v>
      </c>
      <c r="E142" t="s">
        <v>103</v>
      </c>
      <c r="F142">
        <v>1</v>
      </c>
      <c r="G142" s="5">
        <v>191.16</v>
      </c>
      <c r="H142" s="6">
        <v>0.1</v>
      </c>
      <c r="I142" s="5">
        <v>172.04</v>
      </c>
      <c r="J142" s="5">
        <v>148.72</v>
      </c>
      <c r="K142" s="5">
        <v>23.32</v>
      </c>
      <c r="L142" t="s">
        <v>33</v>
      </c>
      <c r="M142" t="s">
        <v>156</v>
      </c>
    </row>
    <row r="143" spans="1:13" x14ac:dyDescent="0.3">
      <c r="A143" t="s">
        <v>193</v>
      </c>
      <c r="B143" s="4">
        <v>45744</v>
      </c>
      <c r="C143" t="s">
        <v>31</v>
      </c>
      <c r="D143" t="s">
        <v>42</v>
      </c>
      <c r="E143" t="s">
        <v>62</v>
      </c>
      <c r="F143">
        <v>8</v>
      </c>
      <c r="G143" s="5">
        <v>88.48</v>
      </c>
      <c r="H143" s="6">
        <v>0.1</v>
      </c>
      <c r="I143" s="5">
        <v>637.05999999999995</v>
      </c>
      <c r="J143" s="5">
        <v>395.5</v>
      </c>
      <c r="K143" s="5">
        <v>241.56</v>
      </c>
      <c r="L143" t="s">
        <v>28</v>
      </c>
      <c r="M143" t="s">
        <v>156</v>
      </c>
    </row>
    <row r="144" spans="1:13" x14ac:dyDescent="0.3">
      <c r="A144" t="s">
        <v>194</v>
      </c>
      <c r="B144" s="4">
        <v>45744</v>
      </c>
      <c r="C144" t="s">
        <v>25</v>
      </c>
      <c r="D144" t="s">
        <v>42</v>
      </c>
      <c r="E144" t="s">
        <v>97</v>
      </c>
      <c r="F144">
        <v>1</v>
      </c>
      <c r="G144" s="5">
        <v>44.49</v>
      </c>
      <c r="H144" s="6">
        <v>0.05</v>
      </c>
      <c r="I144" s="5">
        <v>42.27</v>
      </c>
      <c r="J144" s="5">
        <v>31.33</v>
      </c>
      <c r="K144" s="5">
        <v>10.94</v>
      </c>
      <c r="L144" t="s">
        <v>37</v>
      </c>
      <c r="M144" t="s">
        <v>156</v>
      </c>
    </row>
    <row r="145" spans="1:13" x14ac:dyDescent="0.3">
      <c r="A145" t="s">
        <v>195</v>
      </c>
      <c r="B145" s="4">
        <v>45744</v>
      </c>
      <c r="C145" t="s">
        <v>31</v>
      </c>
      <c r="D145" t="s">
        <v>26</v>
      </c>
      <c r="E145" t="s">
        <v>65</v>
      </c>
      <c r="F145">
        <v>7</v>
      </c>
      <c r="G145" s="5">
        <v>4.53</v>
      </c>
      <c r="H145" s="6">
        <v>0.1</v>
      </c>
      <c r="I145" s="5">
        <v>28.54</v>
      </c>
      <c r="J145" s="5">
        <v>18.87</v>
      </c>
      <c r="K145" s="5">
        <v>9.67</v>
      </c>
      <c r="L145" t="s">
        <v>37</v>
      </c>
      <c r="M145" t="s">
        <v>156</v>
      </c>
    </row>
    <row r="146" spans="1:13" x14ac:dyDescent="0.3">
      <c r="A146" t="s">
        <v>196</v>
      </c>
      <c r="B146" s="4">
        <v>45745</v>
      </c>
      <c r="C146" t="s">
        <v>31</v>
      </c>
      <c r="D146" t="s">
        <v>26</v>
      </c>
      <c r="E146" t="s">
        <v>32</v>
      </c>
      <c r="F146">
        <v>8</v>
      </c>
      <c r="G146" s="5">
        <v>7.86</v>
      </c>
      <c r="H146" s="6">
        <v>0.1</v>
      </c>
      <c r="I146" s="5">
        <v>56.59</v>
      </c>
      <c r="J146" s="5">
        <v>37.549999999999997</v>
      </c>
      <c r="K146" s="5">
        <v>19.04</v>
      </c>
      <c r="L146" t="s">
        <v>28</v>
      </c>
      <c r="M146" t="s">
        <v>156</v>
      </c>
    </row>
    <row r="147" spans="1:13" x14ac:dyDescent="0.3">
      <c r="A147" t="s">
        <v>197</v>
      </c>
      <c r="B147" s="4">
        <v>45745</v>
      </c>
      <c r="C147" t="s">
        <v>25</v>
      </c>
      <c r="D147" t="s">
        <v>26</v>
      </c>
      <c r="E147" t="s">
        <v>32</v>
      </c>
      <c r="F147">
        <v>4</v>
      </c>
      <c r="G147" s="5">
        <v>11.2</v>
      </c>
      <c r="H147" s="6">
        <v>0</v>
      </c>
      <c r="I147" s="5">
        <v>44.8</v>
      </c>
      <c r="J147" s="5">
        <v>27.82</v>
      </c>
      <c r="K147" s="5">
        <v>16.98</v>
      </c>
      <c r="L147" t="s">
        <v>28</v>
      </c>
      <c r="M147" t="s">
        <v>156</v>
      </c>
    </row>
    <row r="148" spans="1:13" x14ac:dyDescent="0.3">
      <c r="A148" t="s">
        <v>198</v>
      </c>
      <c r="B148" s="4">
        <v>45745</v>
      </c>
      <c r="C148" t="s">
        <v>25</v>
      </c>
      <c r="D148" t="s">
        <v>35</v>
      </c>
      <c r="E148" t="s">
        <v>47</v>
      </c>
      <c r="F148">
        <v>5</v>
      </c>
      <c r="G148" s="5">
        <v>268.73</v>
      </c>
      <c r="H148" s="6">
        <v>0.1</v>
      </c>
      <c r="I148" s="5">
        <v>1209.29</v>
      </c>
      <c r="J148" s="5">
        <v>935.78</v>
      </c>
      <c r="K148" s="5">
        <v>273.51</v>
      </c>
      <c r="L148" t="s">
        <v>28</v>
      </c>
      <c r="M148" t="s">
        <v>156</v>
      </c>
    </row>
    <row r="149" spans="1:13" x14ac:dyDescent="0.3">
      <c r="A149" t="s">
        <v>199</v>
      </c>
      <c r="B149" s="4">
        <v>45745</v>
      </c>
      <c r="C149" t="s">
        <v>25</v>
      </c>
      <c r="D149" t="s">
        <v>26</v>
      </c>
      <c r="E149" t="s">
        <v>53</v>
      </c>
      <c r="F149">
        <v>6</v>
      </c>
      <c r="G149" s="5">
        <v>18.5</v>
      </c>
      <c r="H149" s="6">
        <v>0.2</v>
      </c>
      <c r="I149" s="5">
        <v>88.8</v>
      </c>
      <c r="J149" s="5">
        <v>71.430000000000007</v>
      </c>
      <c r="K149" s="5">
        <v>17.37</v>
      </c>
      <c r="L149" t="s">
        <v>37</v>
      </c>
      <c r="M149" t="s">
        <v>156</v>
      </c>
    </row>
    <row r="150" spans="1:13" x14ac:dyDescent="0.3">
      <c r="A150" t="s">
        <v>200</v>
      </c>
      <c r="B150" s="4">
        <v>45747</v>
      </c>
      <c r="C150" t="s">
        <v>25</v>
      </c>
      <c r="D150" t="s">
        <v>26</v>
      </c>
      <c r="E150" t="s">
        <v>32</v>
      </c>
      <c r="F150">
        <v>7</v>
      </c>
      <c r="G150" s="5">
        <v>7.07</v>
      </c>
      <c r="H150" s="6">
        <v>0.05</v>
      </c>
      <c r="I150" s="5">
        <v>47.02</v>
      </c>
      <c r="J150" s="5">
        <v>28.67</v>
      </c>
      <c r="K150" s="5">
        <v>18.350000000000001</v>
      </c>
      <c r="L150" t="s">
        <v>37</v>
      </c>
      <c r="M150" t="s">
        <v>156</v>
      </c>
    </row>
    <row r="151" spans="1:13" x14ac:dyDescent="0.3">
      <c r="A151" t="s">
        <v>201</v>
      </c>
      <c r="B151" s="4">
        <v>45747</v>
      </c>
      <c r="C151" t="s">
        <v>31</v>
      </c>
      <c r="D151" t="s">
        <v>26</v>
      </c>
      <c r="E151" t="s">
        <v>65</v>
      </c>
      <c r="F151">
        <v>1</v>
      </c>
      <c r="G151" s="5">
        <v>15.74</v>
      </c>
      <c r="H151" s="6">
        <v>0</v>
      </c>
      <c r="I151" s="5">
        <v>15.74</v>
      </c>
      <c r="J151" s="5">
        <v>12.28</v>
      </c>
      <c r="K151" s="5">
        <v>3.46</v>
      </c>
      <c r="L151" t="s">
        <v>28</v>
      </c>
      <c r="M151" t="s">
        <v>156</v>
      </c>
    </row>
    <row r="152" spans="1:13" x14ac:dyDescent="0.3">
      <c r="A152" t="s">
        <v>202</v>
      </c>
      <c r="B152" s="4">
        <v>45748</v>
      </c>
      <c r="C152" t="s">
        <v>39</v>
      </c>
      <c r="D152" t="s">
        <v>35</v>
      </c>
      <c r="E152" t="s">
        <v>47</v>
      </c>
      <c r="F152">
        <v>1</v>
      </c>
      <c r="G152" s="5">
        <v>260.14999999999998</v>
      </c>
      <c r="H152" s="6">
        <v>0.1</v>
      </c>
      <c r="I152" s="5">
        <v>234.13</v>
      </c>
      <c r="J152" s="5">
        <v>193.79</v>
      </c>
      <c r="K152" s="5">
        <v>40.340000000000003</v>
      </c>
      <c r="L152" t="s">
        <v>33</v>
      </c>
      <c r="M152" t="s">
        <v>203</v>
      </c>
    </row>
    <row r="153" spans="1:13" x14ac:dyDescent="0.3">
      <c r="A153" t="s">
        <v>204</v>
      </c>
      <c r="B153" s="4">
        <v>45749</v>
      </c>
      <c r="C153" t="s">
        <v>39</v>
      </c>
      <c r="D153" t="s">
        <v>26</v>
      </c>
      <c r="E153" t="s">
        <v>32</v>
      </c>
      <c r="F153">
        <v>4</v>
      </c>
      <c r="G153" s="5">
        <v>16.39</v>
      </c>
      <c r="H153" s="6">
        <v>0</v>
      </c>
      <c r="I153" s="5">
        <v>65.56</v>
      </c>
      <c r="J153" s="5">
        <v>50.91</v>
      </c>
      <c r="K153" s="5">
        <v>14.65</v>
      </c>
      <c r="L153" t="s">
        <v>28</v>
      </c>
      <c r="M153" t="s">
        <v>203</v>
      </c>
    </row>
    <row r="154" spans="1:13" x14ac:dyDescent="0.3">
      <c r="A154" t="s">
        <v>205</v>
      </c>
      <c r="B154" s="4">
        <v>45749</v>
      </c>
      <c r="C154" t="s">
        <v>51</v>
      </c>
      <c r="D154" t="s">
        <v>35</v>
      </c>
      <c r="E154" t="s">
        <v>36</v>
      </c>
      <c r="F154">
        <v>7</v>
      </c>
      <c r="G154" s="5">
        <v>202.75</v>
      </c>
      <c r="H154" s="6">
        <v>0.05</v>
      </c>
      <c r="I154" s="5">
        <v>1348.29</v>
      </c>
      <c r="J154" s="5">
        <v>884.4</v>
      </c>
      <c r="K154" s="5">
        <v>463.89</v>
      </c>
      <c r="L154" t="s">
        <v>37</v>
      </c>
      <c r="M154" t="s">
        <v>203</v>
      </c>
    </row>
    <row r="155" spans="1:13" x14ac:dyDescent="0.3">
      <c r="A155" t="s">
        <v>206</v>
      </c>
      <c r="B155" s="4">
        <v>45751</v>
      </c>
      <c r="C155" t="s">
        <v>31</v>
      </c>
      <c r="D155" t="s">
        <v>42</v>
      </c>
      <c r="E155" t="s">
        <v>43</v>
      </c>
      <c r="F155">
        <v>1</v>
      </c>
      <c r="G155" s="5">
        <v>161.72</v>
      </c>
      <c r="H155" s="6">
        <v>0.1</v>
      </c>
      <c r="I155" s="5">
        <v>145.55000000000001</v>
      </c>
      <c r="J155" s="5">
        <v>126.29</v>
      </c>
      <c r="K155" s="5">
        <v>19.260000000000002</v>
      </c>
      <c r="L155" t="s">
        <v>28</v>
      </c>
      <c r="M155" t="s">
        <v>203</v>
      </c>
    </row>
    <row r="156" spans="1:13" x14ac:dyDescent="0.3">
      <c r="A156" t="s">
        <v>207</v>
      </c>
      <c r="B156" s="4">
        <v>45753</v>
      </c>
      <c r="C156" t="s">
        <v>25</v>
      </c>
      <c r="D156" t="s">
        <v>42</v>
      </c>
      <c r="E156" t="s">
        <v>97</v>
      </c>
      <c r="F156">
        <v>3</v>
      </c>
      <c r="G156" s="5">
        <v>13.46</v>
      </c>
      <c r="H156" s="6">
        <v>0.15</v>
      </c>
      <c r="I156" s="5">
        <v>34.32</v>
      </c>
      <c r="J156" s="5">
        <v>27.88</v>
      </c>
      <c r="K156" s="5">
        <v>6.44</v>
      </c>
      <c r="L156" t="s">
        <v>33</v>
      </c>
      <c r="M156" t="s">
        <v>203</v>
      </c>
    </row>
    <row r="157" spans="1:13" x14ac:dyDescent="0.3">
      <c r="A157" t="s">
        <v>208</v>
      </c>
      <c r="B157" s="4">
        <v>45753</v>
      </c>
      <c r="C157" t="s">
        <v>31</v>
      </c>
      <c r="D157" t="s">
        <v>42</v>
      </c>
      <c r="E157" t="s">
        <v>72</v>
      </c>
      <c r="F157">
        <v>8</v>
      </c>
      <c r="G157" s="5">
        <v>520.76</v>
      </c>
      <c r="H157" s="6">
        <v>0.2</v>
      </c>
      <c r="I157" s="5">
        <v>3332.86</v>
      </c>
      <c r="J157" s="5">
        <v>3128.84</v>
      </c>
      <c r="K157" s="5">
        <v>204.02</v>
      </c>
      <c r="L157" t="s">
        <v>28</v>
      </c>
      <c r="M157" t="s">
        <v>203</v>
      </c>
    </row>
    <row r="158" spans="1:13" x14ac:dyDescent="0.3">
      <c r="A158" t="s">
        <v>209</v>
      </c>
      <c r="B158" s="4">
        <v>45754</v>
      </c>
      <c r="C158" t="s">
        <v>51</v>
      </c>
      <c r="D158" t="s">
        <v>35</v>
      </c>
      <c r="E158" t="s">
        <v>103</v>
      </c>
      <c r="F158">
        <v>3</v>
      </c>
      <c r="G158" s="5">
        <v>248.01</v>
      </c>
      <c r="H158" s="6">
        <v>0.1</v>
      </c>
      <c r="I158" s="5">
        <v>669.63</v>
      </c>
      <c r="J158" s="5">
        <v>575.34</v>
      </c>
      <c r="K158" s="5">
        <v>94.29</v>
      </c>
      <c r="L158" t="s">
        <v>37</v>
      </c>
      <c r="M158" t="s">
        <v>203</v>
      </c>
    </row>
    <row r="159" spans="1:13" x14ac:dyDescent="0.3">
      <c r="A159" t="s">
        <v>210</v>
      </c>
      <c r="B159" s="4">
        <v>45755</v>
      </c>
      <c r="C159" t="s">
        <v>39</v>
      </c>
      <c r="D159" t="s">
        <v>42</v>
      </c>
      <c r="E159" t="s">
        <v>59</v>
      </c>
      <c r="F159">
        <v>3</v>
      </c>
      <c r="G159" s="5">
        <v>226.01</v>
      </c>
      <c r="H159" s="6">
        <v>0.05</v>
      </c>
      <c r="I159" s="5">
        <v>644.13</v>
      </c>
      <c r="J159" s="5">
        <v>421.53</v>
      </c>
      <c r="K159" s="5">
        <v>222.6</v>
      </c>
      <c r="L159" t="s">
        <v>28</v>
      </c>
      <c r="M159" t="s">
        <v>203</v>
      </c>
    </row>
    <row r="160" spans="1:13" x14ac:dyDescent="0.3">
      <c r="A160" t="s">
        <v>211</v>
      </c>
      <c r="B160" s="4">
        <v>45755</v>
      </c>
      <c r="C160" t="s">
        <v>25</v>
      </c>
      <c r="D160" t="s">
        <v>26</v>
      </c>
      <c r="E160" t="s">
        <v>27</v>
      </c>
      <c r="F160">
        <v>8</v>
      </c>
      <c r="G160" s="5">
        <v>15.49</v>
      </c>
      <c r="H160" s="6">
        <v>0</v>
      </c>
      <c r="I160" s="5">
        <v>123.92</v>
      </c>
      <c r="J160" s="5">
        <v>68.040000000000006</v>
      </c>
      <c r="K160" s="5">
        <v>55.88</v>
      </c>
      <c r="L160" t="s">
        <v>37</v>
      </c>
      <c r="M160" t="s">
        <v>203</v>
      </c>
    </row>
    <row r="161" spans="1:13" x14ac:dyDescent="0.3">
      <c r="A161" t="s">
        <v>212</v>
      </c>
      <c r="B161" s="4">
        <v>45756</v>
      </c>
      <c r="C161" t="s">
        <v>39</v>
      </c>
      <c r="D161" t="s">
        <v>26</v>
      </c>
      <c r="E161" t="s">
        <v>32</v>
      </c>
      <c r="F161">
        <v>6</v>
      </c>
      <c r="G161" s="5">
        <v>14.19</v>
      </c>
      <c r="H161" s="6">
        <v>0</v>
      </c>
      <c r="I161" s="5">
        <v>85.14</v>
      </c>
      <c r="J161" s="5">
        <v>57</v>
      </c>
      <c r="K161" s="5">
        <v>28.14</v>
      </c>
      <c r="L161" t="s">
        <v>28</v>
      </c>
      <c r="M161" t="s">
        <v>203</v>
      </c>
    </row>
    <row r="162" spans="1:13" x14ac:dyDescent="0.3">
      <c r="A162" t="s">
        <v>213</v>
      </c>
      <c r="B162" s="4">
        <v>45757</v>
      </c>
      <c r="C162" t="s">
        <v>39</v>
      </c>
      <c r="D162" t="s">
        <v>26</v>
      </c>
      <c r="E162" t="s">
        <v>53</v>
      </c>
      <c r="F162">
        <v>7</v>
      </c>
      <c r="G162" s="5">
        <v>14.55</v>
      </c>
      <c r="H162" s="6">
        <v>0.05</v>
      </c>
      <c r="I162" s="5">
        <v>96.76</v>
      </c>
      <c r="J162" s="5">
        <v>60.83</v>
      </c>
      <c r="K162" s="5">
        <v>35.93</v>
      </c>
      <c r="L162" t="s">
        <v>28</v>
      </c>
      <c r="M162" t="s">
        <v>203</v>
      </c>
    </row>
    <row r="163" spans="1:13" x14ac:dyDescent="0.3">
      <c r="A163" t="s">
        <v>214</v>
      </c>
      <c r="B163" s="4">
        <v>45758</v>
      </c>
      <c r="C163" t="s">
        <v>25</v>
      </c>
      <c r="D163" t="s">
        <v>26</v>
      </c>
      <c r="E163" t="s">
        <v>53</v>
      </c>
      <c r="F163">
        <v>6</v>
      </c>
      <c r="G163" s="5">
        <v>4.68</v>
      </c>
      <c r="H163" s="6">
        <v>0.1</v>
      </c>
      <c r="I163" s="5">
        <v>25.27</v>
      </c>
      <c r="J163" s="5">
        <v>15.9</v>
      </c>
      <c r="K163" s="5">
        <v>9.3699999999999992</v>
      </c>
      <c r="L163" t="s">
        <v>28</v>
      </c>
      <c r="M163" t="s">
        <v>203</v>
      </c>
    </row>
    <row r="164" spans="1:13" x14ac:dyDescent="0.3">
      <c r="A164" t="s">
        <v>215</v>
      </c>
      <c r="B164" s="4">
        <v>45758</v>
      </c>
      <c r="C164" t="s">
        <v>51</v>
      </c>
      <c r="D164" t="s">
        <v>42</v>
      </c>
      <c r="E164" t="s">
        <v>62</v>
      </c>
      <c r="F164">
        <v>3</v>
      </c>
      <c r="G164" s="5">
        <v>97.34</v>
      </c>
      <c r="H164" s="6">
        <v>0.05</v>
      </c>
      <c r="I164" s="5">
        <v>277.42</v>
      </c>
      <c r="J164" s="5">
        <v>191.02</v>
      </c>
      <c r="K164" s="5">
        <v>86.4</v>
      </c>
      <c r="L164" t="s">
        <v>33</v>
      </c>
      <c r="M164" t="s">
        <v>203</v>
      </c>
    </row>
    <row r="165" spans="1:13" x14ac:dyDescent="0.3">
      <c r="A165" t="s">
        <v>216</v>
      </c>
      <c r="B165" s="4">
        <v>45758</v>
      </c>
      <c r="C165" t="s">
        <v>31</v>
      </c>
      <c r="D165" t="s">
        <v>35</v>
      </c>
      <c r="E165" t="s">
        <v>103</v>
      </c>
      <c r="F165">
        <v>7</v>
      </c>
      <c r="G165" s="5">
        <v>226.18</v>
      </c>
      <c r="H165" s="6">
        <v>0</v>
      </c>
      <c r="I165" s="5">
        <v>1583.26</v>
      </c>
      <c r="J165" s="5">
        <v>1104.6099999999999</v>
      </c>
      <c r="K165" s="5">
        <v>478.65</v>
      </c>
      <c r="L165" t="s">
        <v>28</v>
      </c>
      <c r="M165" t="s">
        <v>203</v>
      </c>
    </row>
    <row r="166" spans="1:13" x14ac:dyDescent="0.3">
      <c r="A166" t="s">
        <v>217</v>
      </c>
      <c r="B166" s="4">
        <v>45759</v>
      </c>
      <c r="C166" t="s">
        <v>39</v>
      </c>
      <c r="D166" t="s">
        <v>26</v>
      </c>
      <c r="E166" t="s">
        <v>53</v>
      </c>
      <c r="F166">
        <v>8</v>
      </c>
      <c r="G166" s="5">
        <v>12.5</v>
      </c>
      <c r="H166" s="6">
        <v>0.15</v>
      </c>
      <c r="I166" s="5">
        <v>85</v>
      </c>
      <c r="J166" s="5">
        <v>81.23</v>
      </c>
      <c r="K166" s="5">
        <v>3.77</v>
      </c>
      <c r="L166" t="s">
        <v>28</v>
      </c>
      <c r="M166" t="s">
        <v>203</v>
      </c>
    </row>
    <row r="167" spans="1:13" x14ac:dyDescent="0.3">
      <c r="A167" t="s">
        <v>218</v>
      </c>
      <c r="B167" s="4">
        <v>45759</v>
      </c>
      <c r="C167" t="s">
        <v>31</v>
      </c>
      <c r="D167" t="s">
        <v>35</v>
      </c>
      <c r="E167" t="s">
        <v>47</v>
      </c>
      <c r="F167">
        <v>5</v>
      </c>
      <c r="G167" s="5">
        <v>238.57</v>
      </c>
      <c r="H167" s="6">
        <v>0.1</v>
      </c>
      <c r="I167" s="5">
        <v>1073.57</v>
      </c>
      <c r="J167" s="5">
        <v>674.56</v>
      </c>
      <c r="K167" s="5">
        <v>399.01</v>
      </c>
      <c r="L167" t="s">
        <v>33</v>
      </c>
      <c r="M167" t="s">
        <v>203</v>
      </c>
    </row>
    <row r="168" spans="1:13" x14ac:dyDescent="0.3">
      <c r="A168" t="s">
        <v>219</v>
      </c>
      <c r="B168" s="4">
        <v>45759</v>
      </c>
      <c r="C168" t="s">
        <v>25</v>
      </c>
      <c r="D168" t="s">
        <v>26</v>
      </c>
      <c r="E168" t="s">
        <v>32</v>
      </c>
      <c r="F168">
        <v>5</v>
      </c>
      <c r="G168" s="5">
        <v>5.83</v>
      </c>
      <c r="H168" s="6">
        <v>0.1</v>
      </c>
      <c r="I168" s="5">
        <v>26.23</v>
      </c>
      <c r="J168" s="5">
        <v>23.56</v>
      </c>
      <c r="K168" s="5">
        <v>2.67</v>
      </c>
      <c r="L168" t="s">
        <v>28</v>
      </c>
      <c r="M168" t="s">
        <v>203</v>
      </c>
    </row>
    <row r="169" spans="1:13" x14ac:dyDescent="0.3">
      <c r="A169" t="s">
        <v>220</v>
      </c>
      <c r="B169" s="4">
        <v>45760</v>
      </c>
      <c r="C169" t="s">
        <v>39</v>
      </c>
      <c r="D169" t="s">
        <v>26</v>
      </c>
      <c r="E169" t="s">
        <v>65</v>
      </c>
      <c r="F169">
        <v>7</v>
      </c>
      <c r="G169" s="5">
        <v>8.26</v>
      </c>
      <c r="H169" s="6">
        <v>0.05</v>
      </c>
      <c r="I169" s="5">
        <v>54.93</v>
      </c>
      <c r="J169" s="5">
        <v>39.83</v>
      </c>
      <c r="K169" s="5">
        <v>15.1</v>
      </c>
      <c r="L169" t="s">
        <v>28</v>
      </c>
      <c r="M169" t="s">
        <v>203</v>
      </c>
    </row>
    <row r="170" spans="1:13" x14ac:dyDescent="0.3">
      <c r="A170" t="s">
        <v>221</v>
      </c>
      <c r="B170" s="4">
        <v>45760</v>
      </c>
      <c r="C170" t="s">
        <v>39</v>
      </c>
      <c r="D170" t="s">
        <v>26</v>
      </c>
      <c r="E170" t="s">
        <v>27</v>
      </c>
      <c r="F170">
        <v>1</v>
      </c>
      <c r="G170" s="5">
        <v>27.17</v>
      </c>
      <c r="H170" s="6">
        <v>0.15</v>
      </c>
      <c r="I170" s="5">
        <v>23.09</v>
      </c>
      <c r="J170" s="5">
        <v>18.149999999999999</v>
      </c>
      <c r="K170" s="5">
        <v>4.9400000000000004</v>
      </c>
      <c r="L170" t="s">
        <v>37</v>
      </c>
      <c r="M170" t="s">
        <v>203</v>
      </c>
    </row>
    <row r="171" spans="1:13" x14ac:dyDescent="0.3">
      <c r="A171" t="s">
        <v>222</v>
      </c>
      <c r="B171" s="4">
        <v>45760</v>
      </c>
      <c r="C171" t="s">
        <v>31</v>
      </c>
      <c r="D171" t="s">
        <v>35</v>
      </c>
      <c r="E171" t="s">
        <v>36</v>
      </c>
      <c r="F171">
        <v>2</v>
      </c>
      <c r="G171" s="5">
        <v>180.97</v>
      </c>
      <c r="H171" s="6">
        <v>0.05</v>
      </c>
      <c r="I171" s="5">
        <v>343.84</v>
      </c>
      <c r="J171" s="5">
        <v>269.56</v>
      </c>
      <c r="K171" s="5">
        <v>74.28</v>
      </c>
      <c r="L171" t="s">
        <v>37</v>
      </c>
      <c r="M171" t="s">
        <v>203</v>
      </c>
    </row>
    <row r="172" spans="1:13" x14ac:dyDescent="0.3">
      <c r="A172" t="s">
        <v>223</v>
      </c>
      <c r="B172" s="4">
        <v>45761</v>
      </c>
      <c r="C172" t="s">
        <v>51</v>
      </c>
      <c r="D172" t="s">
        <v>42</v>
      </c>
      <c r="E172" t="s">
        <v>62</v>
      </c>
      <c r="F172">
        <v>7</v>
      </c>
      <c r="G172" s="5">
        <v>59.3</v>
      </c>
      <c r="H172" s="6">
        <v>0.1</v>
      </c>
      <c r="I172" s="5">
        <v>373.59</v>
      </c>
      <c r="J172" s="5">
        <v>225.6</v>
      </c>
      <c r="K172" s="5">
        <v>147.99</v>
      </c>
      <c r="L172" t="s">
        <v>33</v>
      </c>
      <c r="M172" t="s">
        <v>203</v>
      </c>
    </row>
    <row r="173" spans="1:13" x14ac:dyDescent="0.3">
      <c r="A173" t="s">
        <v>224</v>
      </c>
      <c r="B173" s="4">
        <v>45761</v>
      </c>
      <c r="C173" t="s">
        <v>39</v>
      </c>
      <c r="D173" t="s">
        <v>26</v>
      </c>
      <c r="E173" t="s">
        <v>65</v>
      </c>
      <c r="F173">
        <v>2</v>
      </c>
      <c r="G173" s="5">
        <v>7.88</v>
      </c>
      <c r="H173" s="6">
        <v>0</v>
      </c>
      <c r="I173" s="5">
        <v>15.76</v>
      </c>
      <c r="J173" s="5">
        <v>10.56</v>
      </c>
      <c r="K173" s="5">
        <v>5.2</v>
      </c>
      <c r="L173" t="s">
        <v>37</v>
      </c>
      <c r="M173" t="s">
        <v>203</v>
      </c>
    </row>
    <row r="174" spans="1:13" x14ac:dyDescent="0.3">
      <c r="A174" t="s">
        <v>225</v>
      </c>
      <c r="B174" s="4">
        <v>45761</v>
      </c>
      <c r="C174" t="s">
        <v>31</v>
      </c>
      <c r="D174" t="s">
        <v>42</v>
      </c>
      <c r="E174" t="s">
        <v>72</v>
      </c>
      <c r="F174">
        <v>4</v>
      </c>
      <c r="G174" s="5">
        <v>704.79</v>
      </c>
      <c r="H174" s="6">
        <v>0</v>
      </c>
      <c r="I174" s="5">
        <v>2819.16</v>
      </c>
      <c r="J174" s="5">
        <v>1912.13</v>
      </c>
      <c r="K174" s="5">
        <v>907.03</v>
      </c>
      <c r="L174" t="s">
        <v>33</v>
      </c>
      <c r="M174" t="s">
        <v>203</v>
      </c>
    </row>
    <row r="175" spans="1:13" x14ac:dyDescent="0.3">
      <c r="A175" t="s">
        <v>226</v>
      </c>
      <c r="B175" s="4">
        <v>45762</v>
      </c>
      <c r="C175" t="s">
        <v>31</v>
      </c>
      <c r="D175" t="s">
        <v>42</v>
      </c>
      <c r="E175" t="s">
        <v>59</v>
      </c>
      <c r="F175">
        <v>5</v>
      </c>
      <c r="G175" s="5">
        <v>332.78</v>
      </c>
      <c r="H175" s="6">
        <v>0.1</v>
      </c>
      <c r="I175" s="5">
        <v>1497.51</v>
      </c>
      <c r="J175" s="5">
        <v>934.62</v>
      </c>
      <c r="K175" s="5">
        <v>562.89</v>
      </c>
      <c r="L175" t="s">
        <v>33</v>
      </c>
      <c r="M175" t="s">
        <v>203</v>
      </c>
    </row>
    <row r="176" spans="1:13" x14ac:dyDescent="0.3">
      <c r="A176" t="s">
        <v>227</v>
      </c>
      <c r="B176" s="4">
        <v>45763</v>
      </c>
      <c r="C176" t="s">
        <v>51</v>
      </c>
      <c r="D176" t="s">
        <v>26</v>
      </c>
      <c r="E176" t="s">
        <v>68</v>
      </c>
      <c r="F176">
        <v>4</v>
      </c>
      <c r="G176" s="5">
        <v>3.54</v>
      </c>
      <c r="H176" s="6">
        <v>0.05</v>
      </c>
      <c r="I176" s="5">
        <v>13.45</v>
      </c>
      <c r="J176" s="5">
        <v>7.73</v>
      </c>
      <c r="K176" s="5">
        <v>5.72</v>
      </c>
      <c r="L176" t="s">
        <v>33</v>
      </c>
      <c r="M176" t="s">
        <v>203</v>
      </c>
    </row>
    <row r="177" spans="1:13" x14ac:dyDescent="0.3">
      <c r="A177" t="s">
        <v>228</v>
      </c>
      <c r="B177" s="4">
        <v>45763</v>
      </c>
      <c r="C177" t="s">
        <v>51</v>
      </c>
      <c r="D177" t="s">
        <v>35</v>
      </c>
      <c r="E177" t="s">
        <v>40</v>
      </c>
      <c r="F177">
        <v>2</v>
      </c>
      <c r="G177" s="5">
        <v>196.61</v>
      </c>
      <c r="H177" s="6">
        <v>0.05</v>
      </c>
      <c r="I177" s="5">
        <v>373.56</v>
      </c>
      <c r="J177" s="5">
        <v>306.14</v>
      </c>
      <c r="K177" s="5">
        <v>67.42</v>
      </c>
      <c r="L177" t="s">
        <v>28</v>
      </c>
      <c r="M177" t="s">
        <v>203</v>
      </c>
    </row>
    <row r="178" spans="1:13" x14ac:dyDescent="0.3">
      <c r="A178" t="s">
        <v>229</v>
      </c>
      <c r="B178" s="4">
        <v>45763</v>
      </c>
      <c r="C178" t="s">
        <v>39</v>
      </c>
      <c r="D178" t="s">
        <v>42</v>
      </c>
      <c r="E178" t="s">
        <v>43</v>
      </c>
      <c r="F178">
        <v>3</v>
      </c>
      <c r="G178" s="5">
        <v>78.66</v>
      </c>
      <c r="H178" s="6">
        <v>0.1</v>
      </c>
      <c r="I178" s="5">
        <v>212.38</v>
      </c>
      <c r="J178" s="5">
        <v>164.93</v>
      </c>
      <c r="K178" s="5">
        <v>47.45</v>
      </c>
      <c r="L178" t="s">
        <v>28</v>
      </c>
      <c r="M178" t="s">
        <v>203</v>
      </c>
    </row>
    <row r="179" spans="1:13" x14ac:dyDescent="0.3">
      <c r="A179" t="s">
        <v>230</v>
      </c>
      <c r="B179" s="4">
        <v>45764</v>
      </c>
      <c r="C179" t="s">
        <v>51</v>
      </c>
      <c r="D179" t="s">
        <v>26</v>
      </c>
      <c r="E179" t="s">
        <v>32</v>
      </c>
      <c r="F179">
        <v>5</v>
      </c>
      <c r="G179" s="5">
        <v>5.72</v>
      </c>
      <c r="H179" s="6">
        <v>0.05</v>
      </c>
      <c r="I179" s="5">
        <v>27.17</v>
      </c>
      <c r="J179" s="5">
        <v>20.94</v>
      </c>
      <c r="K179" s="5">
        <v>6.23</v>
      </c>
      <c r="L179" t="s">
        <v>37</v>
      </c>
      <c r="M179" t="s">
        <v>203</v>
      </c>
    </row>
    <row r="180" spans="1:13" x14ac:dyDescent="0.3">
      <c r="A180" t="s">
        <v>231</v>
      </c>
      <c r="B180" s="4">
        <v>45765</v>
      </c>
      <c r="C180" t="s">
        <v>39</v>
      </c>
      <c r="D180" t="s">
        <v>35</v>
      </c>
      <c r="E180" t="s">
        <v>103</v>
      </c>
      <c r="F180">
        <v>8</v>
      </c>
      <c r="G180" s="5">
        <v>122.41</v>
      </c>
      <c r="H180" s="6">
        <v>0.1</v>
      </c>
      <c r="I180" s="5">
        <v>881.35</v>
      </c>
      <c r="J180" s="5">
        <v>671.98</v>
      </c>
      <c r="K180" s="5">
        <v>209.37</v>
      </c>
      <c r="L180" t="s">
        <v>37</v>
      </c>
      <c r="M180" t="s">
        <v>203</v>
      </c>
    </row>
    <row r="181" spans="1:13" x14ac:dyDescent="0.3">
      <c r="A181" t="s">
        <v>232</v>
      </c>
      <c r="B181" s="4">
        <v>45765</v>
      </c>
      <c r="C181" t="s">
        <v>51</v>
      </c>
      <c r="D181" t="s">
        <v>26</v>
      </c>
      <c r="E181" t="s">
        <v>32</v>
      </c>
      <c r="F181">
        <v>1</v>
      </c>
      <c r="G181" s="5">
        <v>6.55</v>
      </c>
      <c r="H181" s="6">
        <v>0.05</v>
      </c>
      <c r="I181" s="5">
        <v>6.22</v>
      </c>
      <c r="J181" s="5">
        <v>3.54</v>
      </c>
      <c r="K181" s="5">
        <v>2.68</v>
      </c>
      <c r="L181" t="s">
        <v>33</v>
      </c>
      <c r="M181" t="s">
        <v>203</v>
      </c>
    </row>
    <row r="182" spans="1:13" x14ac:dyDescent="0.3">
      <c r="A182" t="s">
        <v>233</v>
      </c>
      <c r="B182" s="4">
        <v>45766</v>
      </c>
      <c r="C182" t="s">
        <v>31</v>
      </c>
      <c r="D182" t="s">
        <v>42</v>
      </c>
      <c r="E182" t="s">
        <v>59</v>
      </c>
      <c r="F182">
        <v>1</v>
      </c>
      <c r="G182" s="5">
        <v>304.61</v>
      </c>
      <c r="H182" s="6">
        <v>0.1</v>
      </c>
      <c r="I182" s="5">
        <v>274.14999999999998</v>
      </c>
      <c r="J182" s="5">
        <v>227.94</v>
      </c>
      <c r="K182" s="5">
        <v>46.21</v>
      </c>
      <c r="L182" t="s">
        <v>37</v>
      </c>
      <c r="M182" t="s">
        <v>203</v>
      </c>
    </row>
    <row r="183" spans="1:13" x14ac:dyDescent="0.3">
      <c r="A183" t="s">
        <v>234</v>
      </c>
      <c r="B183" s="4">
        <v>45767</v>
      </c>
      <c r="C183" t="s">
        <v>39</v>
      </c>
      <c r="D183" t="s">
        <v>26</v>
      </c>
      <c r="E183" t="s">
        <v>68</v>
      </c>
      <c r="F183">
        <v>8</v>
      </c>
      <c r="G183" s="5">
        <v>9.27</v>
      </c>
      <c r="H183" s="6">
        <v>0.15</v>
      </c>
      <c r="I183" s="5">
        <v>63.04</v>
      </c>
      <c r="J183" s="5">
        <v>41.75</v>
      </c>
      <c r="K183" s="5">
        <v>21.29</v>
      </c>
      <c r="L183" t="s">
        <v>28</v>
      </c>
      <c r="M183" t="s">
        <v>203</v>
      </c>
    </row>
    <row r="184" spans="1:13" x14ac:dyDescent="0.3">
      <c r="A184" t="s">
        <v>235</v>
      </c>
      <c r="B184" s="4">
        <v>45767</v>
      </c>
      <c r="C184" t="s">
        <v>31</v>
      </c>
      <c r="D184" t="s">
        <v>26</v>
      </c>
      <c r="E184" t="s">
        <v>53</v>
      </c>
      <c r="F184">
        <v>6</v>
      </c>
      <c r="G184" s="5">
        <v>21.8</v>
      </c>
      <c r="H184" s="6">
        <v>0</v>
      </c>
      <c r="I184" s="5">
        <v>130.80000000000001</v>
      </c>
      <c r="J184" s="5">
        <v>73.930000000000007</v>
      </c>
      <c r="K184" s="5">
        <v>56.87</v>
      </c>
      <c r="L184" t="s">
        <v>37</v>
      </c>
      <c r="M184" t="s">
        <v>203</v>
      </c>
    </row>
    <row r="185" spans="1:13" x14ac:dyDescent="0.3">
      <c r="A185" t="s">
        <v>236</v>
      </c>
      <c r="B185" s="4">
        <v>45767</v>
      </c>
      <c r="C185" t="s">
        <v>25</v>
      </c>
      <c r="D185" t="s">
        <v>42</v>
      </c>
      <c r="E185" t="s">
        <v>59</v>
      </c>
      <c r="F185">
        <v>2</v>
      </c>
      <c r="G185" s="5">
        <v>313.73</v>
      </c>
      <c r="H185" s="6">
        <v>0.1</v>
      </c>
      <c r="I185" s="5">
        <v>564.71</v>
      </c>
      <c r="J185" s="5">
        <v>427.77</v>
      </c>
      <c r="K185" s="5">
        <v>136.94</v>
      </c>
      <c r="L185" t="s">
        <v>37</v>
      </c>
      <c r="M185" t="s">
        <v>203</v>
      </c>
    </row>
    <row r="186" spans="1:13" x14ac:dyDescent="0.3">
      <c r="A186" t="s">
        <v>237</v>
      </c>
      <c r="B186" s="4">
        <v>45768</v>
      </c>
      <c r="C186" t="s">
        <v>31</v>
      </c>
      <c r="D186" t="s">
        <v>26</v>
      </c>
      <c r="E186" t="s">
        <v>65</v>
      </c>
      <c r="F186">
        <v>2</v>
      </c>
      <c r="G186" s="5">
        <v>10.69</v>
      </c>
      <c r="H186" s="6">
        <v>0.15</v>
      </c>
      <c r="I186" s="5">
        <v>18.170000000000002</v>
      </c>
      <c r="J186" s="5">
        <v>13.2</v>
      </c>
      <c r="K186" s="5">
        <v>4.97</v>
      </c>
      <c r="L186" t="s">
        <v>28</v>
      </c>
      <c r="M186" t="s">
        <v>203</v>
      </c>
    </row>
    <row r="187" spans="1:13" x14ac:dyDescent="0.3">
      <c r="A187" t="s">
        <v>238</v>
      </c>
      <c r="B187" s="4">
        <v>45768</v>
      </c>
      <c r="C187" t="s">
        <v>51</v>
      </c>
      <c r="D187" t="s">
        <v>35</v>
      </c>
      <c r="E187" t="s">
        <v>103</v>
      </c>
      <c r="F187">
        <v>7</v>
      </c>
      <c r="G187" s="5">
        <v>98.13</v>
      </c>
      <c r="H187" s="6">
        <v>0.15</v>
      </c>
      <c r="I187" s="5">
        <v>583.87</v>
      </c>
      <c r="J187" s="5">
        <v>362.55</v>
      </c>
      <c r="K187" s="5">
        <v>221.32</v>
      </c>
      <c r="L187" t="s">
        <v>28</v>
      </c>
      <c r="M187" t="s">
        <v>203</v>
      </c>
    </row>
    <row r="188" spans="1:13" x14ac:dyDescent="0.3">
      <c r="A188" t="s">
        <v>239</v>
      </c>
      <c r="B188" s="4">
        <v>45768</v>
      </c>
      <c r="C188" t="s">
        <v>25</v>
      </c>
      <c r="D188" t="s">
        <v>26</v>
      </c>
      <c r="E188" t="s">
        <v>53</v>
      </c>
      <c r="F188">
        <v>1</v>
      </c>
      <c r="G188" s="5">
        <v>5.82</v>
      </c>
      <c r="H188" s="6">
        <v>0</v>
      </c>
      <c r="I188" s="5">
        <v>5.82</v>
      </c>
      <c r="J188" s="5">
        <v>3.8</v>
      </c>
      <c r="K188" s="5">
        <v>2.02</v>
      </c>
      <c r="L188" t="s">
        <v>37</v>
      </c>
      <c r="M188" t="s">
        <v>203</v>
      </c>
    </row>
    <row r="189" spans="1:13" x14ac:dyDescent="0.3">
      <c r="A189" t="s">
        <v>240</v>
      </c>
      <c r="B189" s="4">
        <v>45769</v>
      </c>
      <c r="C189" t="s">
        <v>31</v>
      </c>
      <c r="D189" t="s">
        <v>42</v>
      </c>
      <c r="E189" t="s">
        <v>43</v>
      </c>
      <c r="F189">
        <v>3</v>
      </c>
      <c r="G189" s="5">
        <v>167.97</v>
      </c>
      <c r="H189" s="6">
        <v>0</v>
      </c>
      <c r="I189" s="5">
        <v>503.91</v>
      </c>
      <c r="J189" s="5">
        <v>279.27</v>
      </c>
      <c r="K189" s="5">
        <v>224.64</v>
      </c>
      <c r="L189" t="s">
        <v>37</v>
      </c>
      <c r="M189" t="s">
        <v>203</v>
      </c>
    </row>
    <row r="190" spans="1:13" x14ac:dyDescent="0.3">
      <c r="A190" t="s">
        <v>241</v>
      </c>
      <c r="B190" s="4">
        <v>45770</v>
      </c>
      <c r="C190" t="s">
        <v>31</v>
      </c>
      <c r="D190" t="s">
        <v>35</v>
      </c>
      <c r="E190" t="s">
        <v>103</v>
      </c>
      <c r="F190">
        <v>5</v>
      </c>
      <c r="G190" s="5">
        <v>243.55</v>
      </c>
      <c r="H190" s="6">
        <v>0.15</v>
      </c>
      <c r="I190" s="5">
        <v>1035.0899999999999</v>
      </c>
      <c r="J190" s="5">
        <v>950.72</v>
      </c>
      <c r="K190" s="5">
        <v>84.37</v>
      </c>
      <c r="L190" t="s">
        <v>28</v>
      </c>
      <c r="M190" t="s">
        <v>203</v>
      </c>
    </row>
    <row r="191" spans="1:13" x14ac:dyDescent="0.3">
      <c r="A191" t="s">
        <v>242</v>
      </c>
      <c r="B191" s="4">
        <v>45771</v>
      </c>
      <c r="C191" t="s">
        <v>51</v>
      </c>
      <c r="D191" t="s">
        <v>35</v>
      </c>
      <c r="E191" t="s">
        <v>36</v>
      </c>
      <c r="F191">
        <v>7</v>
      </c>
      <c r="G191" s="5">
        <v>91.51</v>
      </c>
      <c r="H191" s="6">
        <v>0.15</v>
      </c>
      <c r="I191" s="5">
        <v>544.48</v>
      </c>
      <c r="J191" s="5">
        <v>339.27</v>
      </c>
      <c r="K191" s="5">
        <v>205.21</v>
      </c>
      <c r="L191" t="s">
        <v>33</v>
      </c>
      <c r="M191" t="s">
        <v>203</v>
      </c>
    </row>
    <row r="192" spans="1:13" x14ac:dyDescent="0.3">
      <c r="A192" t="s">
        <v>243</v>
      </c>
      <c r="B192" s="4">
        <v>45771</v>
      </c>
      <c r="C192" t="s">
        <v>39</v>
      </c>
      <c r="D192" t="s">
        <v>26</v>
      </c>
      <c r="E192" t="s">
        <v>65</v>
      </c>
      <c r="F192">
        <v>8</v>
      </c>
      <c r="G192" s="5">
        <v>19.55</v>
      </c>
      <c r="H192" s="6">
        <v>0.15</v>
      </c>
      <c r="I192" s="5">
        <v>132.94</v>
      </c>
      <c r="J192" s="5">
        <v>121.71</v>
      </c>
      <c r="K192" s="5">
        <v>11.23</v>
      </c>
      <c r="L192" t="s">
        <v>28</v>
      </c>
      <c r="M192" t="s">
        <v>203</v>
      </c>
    </row>
    <row r="193" spans="1:13" x14ac:dyDescent="0.3">
      <c r="A193" t="s">
        <v>244</v>
      </c>
      <c r="B193" s="4">
        <v>45771</v>
      </c>
      <c r="C193" t="s">
        <v>25</v>
      </c>
      <c r="D193" t="s">
        <v>42</v>
      </c>
      <c r="E193" t="s">
        <v>62</v>
      </c>
      <c r="F193">
        <v>7</v>
      </c>
      <c r="G193" s="5">
        <v>36.81</v>
      </c>
      <c r="H193" s="6">
        <v>0.2</v>
      </c>
      <c r="I193" s="5">
        <v>206.14</v>
      </c>
      <c r="J193" s="5">
        <v>141.57</v>
      </c>
      <c r="K193" s="5">
        <v>64.569999999999993</v>
      </c>
      <c r="L193" t="s">
        <v>37</v>
      </c>
      <c r="M193" t="s">
        <v>203</v>
      </c>
    </row>
    <row r="194" spans="1:13" x14ac:dyDescent="0.3">
      <c r="A194" t="s">
        <v>245</v>
      </c>
      <c r="B194" s="4">
        <v>45772</v>
      </c>
      <c r="C194" t="s">
        <v>31</v>
      </c>
      <c r="D194" t="s">
        <v>42</v>
      </c>
      <c r="E194" t="s">
        <v>59</v>
      </c>
      <c r="F194">
        <v>1</v>
      </c>
      <c r="G194" s="5">
        <v>150.66</v>
      </c>
      <c r="H194" s="6">
        <v>0</v>
      </c>
      <c r="I194" s="5">
        <v>150.66</v>
      </c>
      <c r="J194" s="5">
        <v>94.24</v>
      </c>
      <c r="K194" s="5">
        <v>56.42</v>
      </c>
      <c r="L194" t="s">
        <v>28</v>
      </c>
      <c r="M194" t="s">
        <v>203</v>
      </c>
    </row>
    <row r="195" spans="1:13" x14ac:dyDescent="0.3">
      <c r="A195" t="s">
        <v>246</v>
      </c>
      <c r="B195" s="4">
        <v>45772</v>
      </c>
      <c r="C195" t="s">
        <v>25</v>
      </c>
      <c r="D195" t="s">
        <v>26</v>
      </c>
      <c r="E195" t="s">
        <v>68</v>
      </c>
      <c r="F195">
        <v>6</v>
      </c>
      <c r="G195" s="5">
        <v>6.03</v>
      </c>
      <c r="H195" s="6">
        <v>0.15</v>
      </c>
      <c r="I195" s="5">
        <v>30.75</v>
      </c>
      <c r="J195" s="5">
        <v>26.21</v>
      </c>
      <c r="K195" s="5">
        <v>4.54</v>
      </c>
      <c r="L195" t="s">
        <v>33</v>
      </c>
      <c r="M195" t="s">
        <v>203</v>
      </c>
    </row>
    <row r="196" spans="1:13" x14ac:dyDescent="0.3">
      <c r="A196" t="s">
        <v>247</v>
      </c>
      <c r="B196" s="4">
        <v>45773</v>
      </c>
      <c r="C196" t="s">
        <v>31</v>
      </c>
      <c r="D196" t="s">
        <v>42</v>
      </c>
      <c r="E196" t="s">
        <v>62</v>
      </c>
      <c r="F196">
        <v>5</v>
      </c>
      <c r="G196" s="5">
        <v>20.97</v>
      </c>
      <c r="H196" s="6">
        <v>0.1</v>
      </c>
      <c r="I196" s="5">
        <v>94.36</v>
      </c>
      <c r="J196" s="5">
        <v>70.64</v>
      </c>
      <c r="K196" s="5">
        <v>23.72</v>
      </c>
      <c r="L196" t="s">
        <v>33</v>
      </c>
      <c r="M196" t="s">
        <v>203</v>
      </c>
    </row>
    <row r="197" spans="1:13" x14ac:dyDescent="0.3">
      <c r="A197" t="s">
        <v>248</v>
      </c>
      <c r="B197" s="4">
        <v>45773</v>
      </c>
      <c r="C197" t="s">
        <v>51</v>
      </c>
      <c r="D197" t="s">
        <v>42</v>
      </c>
      <c r="E197" t="s">
        <v>43</v>
      </c>
      <c r="F197">
        <v>3</v>
      </c>
      <c r="G197" s="5">
        <v>50.73</v>
      </c>
      <c r="H197" s="6">
        <v>0.05</v>
      </c>
      <c r="I197" s="5">
        <v>144.58000000000001</v>
      </c>
      <c r="J197" s="5">
        <v>97.51</v>
      </c>
      <c r="K197" s="5">
        <v>47.07</v>
      </c>
      <c r="L197" t="s">
        <v>33</v>
      </c>
      <c r="M197" t="s">
        <v>203</v>
      </c>
    </row>
    <row r="198" spans="1:13" x14ac:dyDescent="0.3">
      <c r="A198" t="s">
        <v>249</v>
      </c>
      <c r="B198" s="4">
        <v>45773</v>
      </c>
      <c r="C198" t="s">
        <v>51</v>
      </c>
      <c r="D198" t="s">
        <v>42</v>
      </c>
      <c r="E198" t="s">
        <v>62</v>
      </c>
      <c r="F198">
        <v>3</v>
      </c>
      <c r="G198" s="5">
        <v>45.67</v>
      </c>
      <c r="H198" s="6">
        <v>0.1</v>
      </c>
      <c r="I198" s="5">
        <v>123.31</v>
      </c>
      <c r="J198" s="5">
        <v>109.86</v>
      </c>
      <c r="K198" s="5">
        <v>13.45</v>
      </c>
      <c r="L198" t="s">
        <v>33</v>
      </c>
      <c r="M198" t="s">
        <v>203</v>
      </c>
    </row>
    <row r="199" spans="1:13" x14ac:dyDescent="0.3">
      <c r="A199" t="s">
        <v>250</v>
      </c>
      <c r="B199" s="4">
        <v>45774</v>
      </c>
      <c r="C199" t="s">
        <v>25</v>
      </c>
      <c r="D199" t="s">
        <v>42</v>
      </c>
      <c r="E199" t="s">
        <v>97</v>
      </c>
      <c r="F199">
        <v>7</v>
      </c>
      <c r="G199" s="5">
        <v>27.58</v>
      </c>
      <c r="H199" s="6">
        <v>0.15</v>
      </c>
      <c r="I199" s="5">
        <v>164.1</v>
      </c>
      <c r="J199" s="5">
        <v>144.53</v>
      </c>
      <c r="K199" s="5">
        <v>19.57</v>
      </c>
      <c r="L199" t="s">
        <v>37</v>
      </c>
      <c r="M199" t="s">
        <v>203</v>
      </c>
    </row>
    <row r="200" spans="1:13" x14ac:dyDescent="0.3">
      <c r="A200" t="s">
        <v>251</v>
      </c>
      <c r="B200" s="4">
        <v>45774</v>
      </c>
      <c r="C200" t="s">
        <v>39</v>
      </c>
      <c r="D200" t="s">
        <v>42</v>
      </c>
      <c r="E200" t="s">
        <v>97</v>
      </c>
      <c r="F200">
        <v>3</v>
      </c>
      <c r="G200" s="5">
        <v>12.33</v>
      </c>
      <c r="H200" s="6">
        <v>0.1</v>
      </c>
      <c r="I200" s="5">
        <v>33.29</v>
      </c>
      <c r="J200" s="5">
        <v>20.260000000000002</v>
      </c>
      <c r="K200" s="5">
        <v>13.03</v>
      </c>
      <c r="L200" t="s">
        <v>37</v>
      </c>
      <c r="M200" t="s">
        <v>203</v>
      </c>
    </row>
    <row r="201" spans="1:13" x14ac:dyDescent="0.3">
      <c r="A201" t="s">
        <v>252</v>
      </c>
      <c r="B201" s="4">
        <v>45774</v>
      </c>
      <c r="C201" t="s">
        <v>39</v>
      </c>
      <c r="D201" t="s">
        <v>35</v>
      </c>
      <c r="E201" t="s">
        <v>36</v>
      </c>
      <c r="F201">
        <v>5</v>
      </c>
      <c r="G201" s="5">
        <v>157.72</v>
      </c>
      <c r="H201" s="6">
        <v>0.1</v>
      </c>
      <c r="I201" s="5">
        <v>709.74</v>
      </c>
      <c r="J201" s="5">
        <v>529.29</v>
      </c>
      <c r="K201" s="5">
        <v>180.45</v>
      </c>
      <c r="L201" t="s">
        <v>28</v>
      </c>
      <c r="M201" t="s">
        <v>203</v>
      </c>
    </row>
    <row r="202" spans="1:13" x14ac:dyDescent="0.3">
      <c r="A202" t="s">
        <v>253</v>
      </c>
      <c r="B202" s="4">
        <v>45775</v>
      </c>
      <c r="C202" t="s">
        <v>39</v>
      </c>
      <c r="D202" t="s">
        <v>42</v>
      </c>
      <c r="E202" t="s">
        <v>97</v>
      </c>
      <c r="F202">
        <v>6</v>
      </c>
      <c r="G202" s="5">
        <v>55.6</v>
      </c>
      <c r="H202" s="6">
        <v>0.1</v>
      </c>
      <c r="I202" s="5">
        <v>300.24</v>
      </c>
      <c r="J202" s="5">
        <v>259.83</v>
      </c>
      <c r="K202" s="5">
        <v>40.409999999999997</v>
      </c>
      <c r="L202" t="s">
        <v>28</v>
      </c>
      <c r="M202" t="s">
        <v>203</v>
      </c>
    </row>
    <row r="203" spans="1:13" x14ac:dyDescent="0.3">
      <c r="A203" t="s">
        <v>254</v>
      </c>
      <c r="B203" s="4">
        <v>45775</v>
      </c>
      <c r="C203" t="s">
        <v>25</v>
      </c>
      <c r="D203" t="s">
        <v>42</v>
      </c>
      <c r="E203" t="s">
        <v>97</v>
      </c>
      <c r="F203">
        <v>8</v>
      </c>
      <c r="G203" s="5">
        <v>11.07</v>
      </c>
      <c r="H203" s="6">
        <v>0.15</v>
      </c>
      <c r="I203" s="5">
        <v>75.28</v>
      </c>
      <c r="J203" s="5">
        <v>71.34</v>
      </c>
      <c r="K203" s="5">
        <v>3.94</v>
      </c>
      <c r="L203" t="s">
        <v>37</v>
      </c>
      <c r="M203" t="s">
        <v>203</v>
      </c>
    </row>
    <row r="204" spans="1:13" x14ac:dyDescent="0.3">
      <c r="A204" t="s">
        <v>255</v>
      </c>
      <c r="B204" s="4">
        <v>45775</v>
      </c>
      <c r="C204" t="s">
        <v>25</v>
      </c>
      <c r="D204" t="s">
        <v>26</v>
      </c>
      <c r="E204" t="s">
        <v>65</v>
      </c>
      <c r="F204">
        <v>1</v>
      </c>
      <c r="G204" s="5">
        <v>19.98</v>
      </c>
      <c r="H204" s="6">
        <v>0.05</v>
      </c>
      <c r="I204" s="5">
        <v>18.98</v>
      </c>
      <c r="J204" s="5">
        <v>10.4</v>
      </c>
      <c r="K204" s="5">
        <v>8.58</v>
      </c>
      <c r="L204" t="s">
        <v>28</v>
      </c>
      <c r="M204" t="s">
        <v>203</v>
      </c>
    </row>
    <row r="205" spans="1:13" x14ac:dyDescent="0.3">
      <c r="A205" t="s">
        <v>256</v>
      </c>
      <c r="B205" s="4">
        <v>45776</v>
      </c>
      <c r="C205" t="s">
        <v>25</v>
      </c>
      <c r="D205" t="s">
        <v>26</v>
      </c>
      <c r="E205" t="s">
        <v>27</v>
      </c>
      <c r="F205">
        <v>6</v>
      </c>
      <c r="G205" s="5">
        <v>15.7</v>
      </c>
      <c r="H205" s="6">
        <v>0.1</v>
      </c>
      <c r="I205" s="5">
        <v>84.78</v>
      </c>
      <c r="J205" s="5">
        <v>73.180000000000007</v>
      </c>
      <c r="K205" s="5">
        <v>11.6</v>
      </c>
      <c r="L205" t="s">
        <v>33</v>
      </c>
      <c r="M205" t="s">
        <v>203</v>
      </c>
    </row>
    <row r="206" spans="1:13" x14ac:dyDescent="0.3">
      <c r="A206" t="s">
        <v>257</v>
      </c>
      <c r="B206" s="4">
        <v>45778</v>
      </c>
      <c r="C206" t="s">
        <v>31</v>
      </c>
      <c r="D206" t="s">
        <v>26</v>
      </c>
      <c r="E206" t="s">
        <v>53</v>
      </c>
      <c r="F206">
        <v>6</v>
      </c>
      <c r="G206" s="5">
        <v>7.58</v>
      </c>
      <c r="H206" s="6">
        <v>0</v>
      </c>
      <c r="I206" s="5">
        <v>45.48</v>
      </c>
      <c r="J206" s="5">
        <v>33.58</v>
      </c>
      <c r="K206" s="5">
        <v>11.9</v>
      </c>
      <c r="L206" t="s">
        <v>28</v>
      </c>
      <c r="M206" t="s">
        <v>258</v>
      </c>
    </row>
    <row r="207" spans="1:13" x14ac:dyDescent="0.3">
      <c r="A207" t="s">
        <v>259</v>
      </c>
      <c r="B207" s="4">
        <v>45778</v>
      </c>
      <c r="C207" t="s">
        <v>25</v>
      </c>
      <c r="D207" t="s">
        <v>26</v>
      </c>
      <c r="E207" t="s">
        <v>32</v>
      </c>
      <c r="F207">
        <v>3</v>
      </c>
      <c r="G207" s="5">
        <v>5.65</v>
      </c>
      <c r="H207" s="6">
        <v>0.05</v>
      </c>
      <c r="I207" s="5">
        <v>16.100000000000001</v>
      </c>
      <c r="J207" s="5">
        <v>10.81</v>
      </c>
      <c r="K207" s="5">
        <v>5.29</v>
      </c>
      <c r="L207" t="s">
        <v>33</v>
      </c>
      <c r="M207" t="s">
        <v>258</v>
      </c>
    </row>
    <row r="208" spans="1:13" x14ac:dyDescent="0.3">
      <c r="A208" t="s">
        <v>260</v>
      </c>
      <c r="B208" s="4">
        <v>45779</v>
      </c>
      <c r="C208" t="s">
        <v>39</v>
      </c>
      <c r="D208" t="s">
        <v>26</v>
      </c>
      <c r="E208" t="s">
        <v>65</v>
      </c>
      <c r="F208">
        <v>8</v>
      </c>
      <c r="G208" s="5">
        <v>10.47</v>
      </c>
      <c r="H208" s="6">
        <v>0</v>
      </c>
      <c r="I208" s="5">
        <v>83.76</v>
      </c>
      <c r="J208" s="5">
        <v>47.03</v>
      </c>
      <c r="K208" s="5">
        <v>36.729999999999997</v>
      </c>
      <c r="L208" t="s">
        <v>37</v>
      </c>
      <c r="M208" t="s">
        <v>258</v>
      </c>
    </row>
    <row r="209" spans="1:13" x14ac:dyDescent="0.3">
      <c r="A209" t="s">
        <v>261</v>
      </c>
      <c r="B209" s="4">
        <v>45779</v>
      </c>
      <c r="C209" t="s">
        <v>39</v>
      </c>
      <c r="D209" t="s">
        <v>42</v>
      </c>
      <c r="E209" t="s">
        <v>62</v>
      </c>
      <c r="F209">
        <v>8</v>
      </c>
      <c r="G209" s="5">
        <v>33.06</v>
      </c>
      <c r="H209" s="6">
        <v>0.1</v>
      </c>
      <c r="I209" s="5">
        <v>238.03</v>
      </c>
      <c r="J209" s="5">
        <v>166.74</v>
      </c>
      <c r="K209" s="5">
        <v>71.290000000000006</v>
      </c>
      <c r="L209" t="s">
        <v>28</v>
      </c>
      <c r="M209" t="s">
        <v>258</v>
      </c>
    </row>
    <row r="210" spans="1:13" x14ac:dyDescent="0.3">
      <c r="A210" t="s">
        <v>262</v>
      </c>
      <c r="B210" s="4">
        <v>45780</v>
      </c>
      <c r="C210" t="s">
        <v>51</v>
      </c>
      <c r="D210" t="s">
        <v>42</v>
      </c>
      <c r="E210" t="s">
        <v>43</v>
      </c>
      <c r="F210">
        <v>1</v>
      </c>
      <c r="G210" s="5">
        <v>88.62</v>
      </c>
      <c r="H210" s="6">
        <v>0.1</v>
      </c>
      <c r="I210" s="5">
        <v>79.760000000000005</v>
      </c>
      <c r="J210" s="5">
        <v>70.83</v>
      </c>
      <c r="K210" s="5">
        <v>8.93</v>
      </c>
      <c r="L210" t="s">
        <v>28</v>
      </c>
      <c r="M210" t="s">
        <v>258</v>
      </c>
    </row>
    <row r="211" spans="1:13" x14ac:dyDescent="0.3">
      <c r="A211" t="s">
        <v>263</v>
      </c>
      <c r="B211" s="4">
        <v>45780</v>
      </c>
      <c r="C211" t="s">
        <v>31</v>
      </c>
      <c r="D211" t="s">
        <v>42</v>
      </c>
      <c r="E211" t="s">
        <v>72</v>
      </c>
      <c r="F211">
        <v>5</v>
      </c>
      <c r="G211" s="5">
        <v>508.62</v>
      </c>
      <c r="H211" s="6">
        <v>0.15</v>
      </c>
      <c r="I211" s="5">
        <v>2161.63</v>
      </c>
      <c r="J211" s="5">
        <v>1790.72</v>
      </c>
      <c r="K211" s="5">
        <v>370.91</v>
      </c>
      <c r="L211" t="s">
        <v>33</v>
      </c>
      <c r="M211" t="s">
        <v>258</v>
      </c>
    </row>
    <row r="212" spans="1:13" x14ac:dyDescent="0.3">
      <c r="A212" t="s">
        <v>264</v>
      </c>
      <c r="B212" s="4">
        <v>45781</v>
      </c>
      <c r="C212" t="s">
        <v>51</v>
      </c>
      <c r="D212" t="s">
        <v>26</v>
      </c>
      <c r="E212" t="s">
        <v>68</v>
      </c>
      <c r="F212">
        <v>7</v>
      </c>
      <c r="G212" s="5">
        <v>7.72</v>
      </c>
      <c r="H212" s="6">
        <v>0</v>
      </c>
      <c r="I212" s="5">
        <v>54.04</v>
      </c>
      <c r="J212" s="5">
        <v>42.69</v>
      </c>
      <c r="K212" s="5">
        <v>11.35</v>
      </c>
      <c r="L212" t="s">
        <v>37</v>
      </c>
      <c r="M212" t="s">
        <v>258</v>
      </c>
    </row>
    <row r="213" spans="1:13" x14ac:dyDescent="0.3">
      <c r="A213" t="s">
        <v>265</v>
      </c>
      <c r="B213" s="4">
        <v>45783</v>
      </c>
      <c r="C213" t="s">
        <v>39</v>
      </c>
      <c r="D213" t="s">
        <v>42</v>
      </c>
      <c r="E213" t="s">
        <v>97</v>
      </c>
      <c r="F213">
        <v>6</v>
      </c>
      <c r="G213" s="5">
        <v>20.88</v>
      </c>
      <c r="H213" s="6">
        <v>0.1</v>
      </c>
      <c r="I213" s="5">
        <v>112.75</v>
      </c>
      <c r="J213" s="5">
        <v>75.05</v>
      </c>
      <c r="K213" s="5">
        <v>37.700000000000003</v>
      </c>
      <c r="L213" t="s">
        <v>37</v>
      </c>
      <c r="M213" t="s">
        <v>258</v>
      </c>
    </row>
    <row r="214" spans="1:13" x14ac:dyDescent="0.3">
      <c r="A214" t="s">
        <v>266</v>
      </c>
      <c r="B214" s="4">
        <v>45784</v>
      </c>
      <c r="C214" t="s">
        <v>25</v>
      </c>
      <c r="D214" t="s">
        <v>35</v>
      </c>
      <c r="E214" t="s">
        <v>103</v>
      </c>
      <c r="F214">
        <v>4</v>
      </c>
      <c r="G214" s="5">
        <v>191.59</v>
      </c>
      <c r="H214" s="6">
        <v>0.1</v>
      </c>
      <c r="I214" s="5">
        <v>689.72</v>
      </c>
      <c r="J214" s="5">
        <v>568.07000000000005</v>
      </c>
      <c r="K214" s="5">
        <v>121.65</v>
      </c>
      <c r="L214" t="s">
        <v>28</v>
      </c>
      <c r="M214" t="s">
        <v>258</v>
      </c>
    </row>
    <row r="215" spans="1:13" x14ac:dyDescent="0.3">
      <c r="A215" t="s">
        <v>267</v>
      </c>
      <c r="B215" s="4">
        <v>45784</v>
      </c>
      <c r="C215" t="s">
        <v>39</v>
      </c>
      <c r="D215" t="s">
        <v>26</v>
      </c>
      <c r="E215" t="s">
        <v>27</v>
      </c>
      <c r="F215">
        <v>6</v>
      </c>
      <c r="G215" s="5">
        <v>27.31</v>
      </c>
      <c r="H215" s="6">
        <v>0.15</v>
      </c>
      <c r="I215" s="5">
        <v>139.28</v>
      </c>
      <c r="J215" s="5">
        <v>97.36</v>
      </c>
      <c r="K215" s="5">
        <v>41.92</v>
      </c>
      <c r="L215" t="s">
        <v>33</v>
      </c>
      <c r="M215" t="s">
        <v>258</v>
      </c>
    </row>
    <row r="216" spans="1:13" x14ac:dyDescent="0.3">
      <c r="A216" t="s">
        <v>268</v>
      </c>
      <c r="B216" s="4">
        <v>45787</v>
      </c>
      <c r="C216" t="s">
        <v>51</v>
      </c>
      <c r="D216" t="s">
        <v>42</v>
      </c>
      <c r="E216" t="s">
        <v>72</v>
      </c>
      <c r="F216">
        <v>1</v>
      </c>
      <c r="G216" s="5">
        <v>566.82000000000005</v>
      </c>
      <c r="H216" s="6">
        <v>0.05</v>
      </c>
      <c r="I216" s="5">
        <v>538.48</v>
      </c>
      <c r="J216" s="5">
        <v>450.47</v>
      </c>
      <c r="K216" s="5">
        <v>88.01</v>
      </c>
      <c r="L216" t="s">
        <v>33</v>
      </c>
      <c r="M216" t="s">
        <v>258</v>
      </c>
    </row>
    <row r="217" spans="1:13" x14ac:dyDescent="0.3">
      <c r="A217" t="s">
        <v>269</v>
      </c>
      <c r="B217" s="4">
        <v>45788</v>
      </c>
      <c r="C217" t="s">
        <v>31</v>
      </c>
      <c r="D217" t="s">
        <v>26</v>
      </c>
      <c r="E217" t="s">
        <v>32</v>
      </c>
      <c r="F217">
        <v>8</v>
      </c>
      <c r="G217" s="5">
        <v>11.16</v>
      </c>
      <c r="H217" s="6">
        <v>0.15</v>
      </c>
      <c r="I217" s="5">
        <v>75.89</v>
      </c>
      <c r="J217" s="5">
        <v>52.46</v>
      </c>
      <c r="K217" s="5">
        <v>23.43</v>
      </c>
      <c r="L217" t="s">
        <v>28</v>
      </c>
      <c r="M217" t="s">
        <v>258</v>
      </c>
    </row>
    <row r="218" spans="1:13" x14ac:dyDescent="0.3">
      <c r="A218" t="s">
        <v>270</v>
      </c>
      <c r="B218" s="4">
        <v>45790</v>
      </c>
      <c r="C218" t="s">
        <v>31</v>
      </c>
      <c r="D218" t="s">
        <v>35</v>
      </c>
      <c r="E218" t="s">
        <v>36</v>
      </c>
      <c r="F218">
        <v>5</v>
      </c>
      <c r="G218" s="5">
        <v>154.86000000000001</v>
      </c>
      <c r="H218" s="6">
        <v>0.1</v>
      </c>
      <c r="I218" s="5">
        <v>696.87</v>
      </c>
      <c r="J218" s="5">
        <v>623.30999999999995</v>
      </c>
      <c r="K218" s="5">
        <v>73.56</v>
      </c>
      <c r="L218" t="s">
        <v>28</v>
      </c>
      <c r="M218" t="s">
        <v>258</v>
      </c>
    </row>
    <row r="219" spans="1:13" x14ac:dyDescent="0.3">
      <c r="A219" t="s">
        <v>271</v>
      </c>
      <c r="B219" s="4">
        <v>45790</v>
      </c>
      <c r="C219" t="s">
        <v>39</v>
      </c>
      <c r="D219" t="s">
        <v>42</v>
      </c>
      <c r="E219" t="s">
        <v>59</v>
      </c>
      <c r="F219">
        <v>8</v>
      </c>
      <c r="G219" s="5">
        <v>360.67</v>
      </c>
      <c r="H219" s="6">
        <v>0.05</v>
      </c>
      <c r="I219" s="5">
        <v>2741.09</v>
      </c>
      <c r="J219" s="5">
        <v>1742.31</v>
      </c>
      <c r="K219" s="5">
        <v>998.78</v>
      </c>
      <c r="L219" t="s">
        <v>37</v>
      </c>
      <c r="M219" t="s">
        <v>258</v>
      </c>
    </row>
    <row r="220" spans="1:13" x14ac:dyDescent="0.3">
      <c r="A220" t="s">
        <v>272</v>
      </c>
      <c r="B220" s="4">
        <v>45790</v>
      </c>
      <c r="C220" t="s">
        <v>31</v>
      </c>
      <c r="D220" t="s">
        <v>26</v>
      </c>
      <c r="E220" t="s">
        <v>65</v>
      </c>
      <c r="F220">
        <v>2</v>
      </c>
      <c r="G220" s="5">
        <v>19.59</v>
      </c>
      <c r="H220" s="6">
        <v>0</v>
      </c>
      <c r="I220" s="5">
        <v>39.18</v>
      </c>
      <c r="J220" s="5">
        <v>26.44</v>
      </c>
      <c r="K220" s="5">
        <v>12.74</v>
      </c>
      <c r="L220" t="s">
        <v>37</v>
      </c>
      <c r="M220" t="s">
        <v>258</v>
      </c>
    </row>
    <row r="221" spans="1:13" x14ac:dyDescent="0.3">
      <c r="A221" t="s">
        <v>273</v>
      </c>
      <c r="B221" s="4">
        <v>45791</v>
      </c>
      <c r="C221" t="s">
        <v>31</v>
      </c>
      <c r="D221" t="s">
        <v>26</v>
      </c>
      <c r="E221" t="s">
        <v>27</v>
      </c>
      <c r="F221">
        <v>6</v>
      </c>
      <c r="G221" s="5">
        <v>8.27</v>
      </c>
      <c r="H221" s="6">
        <v>0.15</v>
      </c>
      <c r="I221" s="5">
        <v>42.18</v>
      </c>
      <c r="J221" s="5">
        <v>39.75</v>
      </c>
      <c r="K221" s="5">
        <v>2.4300000000000002</v>
      </c>
      <c r="L221" t="s">
        <v>28</v>
      </c>
      <c r="M221" t="s">
        <v>258</v>
      </c>
    </row>
    <row r="222" spans="1:13" x14ac:dyDescent="0.3">
      <c r="A222" t="s">
        <v>274</v>
      </c>
      <c r="B222" s="4">
        <v>45791</v>
      </c>
      <c r="C222" t="s">
        <v>31</v>
      </c>
      <c r="D222" t="s">
        <v>42</v>
      </c>
      <c r="E222" t="s">
        <v>62</v>
      </c>
      <c r="F222">
        <v>4</v>
      </c>
      <c r="G222" s="5">
        <v>53.74</v>
      </c>
      <c r="H222" s="6">
        <v>0</v>
      </c>
      <c r="I222" s="5">
        <v>214.96</v>
      </c>
      <c r="J222" s="5">
        <v>150.02000000000001</v>
      </c>
      <c r="K222" s="5">
        <v>64.94</v>
      </c>
      <c r="L222" t="s">
        <v>28</v>
      </c>
      <c r="M222" t="s">
        <v>258</v>
      </c>
    </row>
    <row r="223" spans="1:13" x14ac:dyDescent="0.3">
      <c r="A223" t="s">
        <v>275</v>
      </c>
      <c r="B223" s="4">
        <v>45792</v>
      </c>
      <c r="C223" t="s">
        <v>31</v>
      </c>
      <c r="D223" t="s">
        <v>26</v>
      </c>
      <c r="E223" t="s">
        <v>68</v>
      </c>
      <c r="F223">
        <v>3</v>
      </c>
      <c r="G223" s="5">
        <v>7.43</v>
      </c>
      <c r="H223" s="6">
        <v>0</v>
      </c>
      <c r="I223" s="5">
        <v>22.29</v>
      </c>
      <c r="J223" s="5">
        <v>13.49</v>
      </c>
      <c r="K223" s="5">
        <v>8.8000000000000007</v>
      </c>
      <c r="L223" t="s">
        <v>28</v>
      </c>
      <c r="M223" t="s">
        <v>258</v>
      </c>
    </row>
    <row r="224" spans="1:13" x14ac:dyDescent="0.3">
      <c r="A224" t="s">
        <v>276</v>
      </c>
      <c r="B224" s="4">
        <v>45793</v>
      </c>
      <c r="C224" t="s">
        <v>25</v>
      </c>
      <c r="D224" t="s">
        <v>35</v>
      </c>
      <c r="E224" t="s">
        <v>36</v>
      </c>
      <c r="F224">
        <v>2</v>
      </c>
      <c r="G224" s="5">
        <v>132.44999999999999</v>
      </c>
      <c r="H224" s="6">
        <v>0.15</v>
      </c>
      <c r="I224" s="5">
        <v>225.16</v>
      </c>
      <c r="J224" s="5">
        <v>216.18</v>
      </c>
      <c r="K224" s="5">
        <v>8.98</v>
      </c>
      <c r="L224" t="s">
        <v>33</v>
      </c>
      <c r="M224" t="s">
        <v>258</v>
      </c>
    </row>
    <row r="225" spans="1:13" x14ac:dyDescent="0.3">
      <c r="A225" t="s">
        <v>277</v>
      </c>
      <c r="B225" s="4">
        <v>45793</v>
      </c>
      <c r="C225" t="s">
        <v>39</v>
      </c>
      <c r="D225" t="s">
        <v>26</v>
      </c>
      <c r="E225" t="s">
        <v>65</v>
      </c>
      <c r="F225">
        <v>6</v>
      </c>
      <c r="G225" s="5">
        <v>10.23</v>
      </c>
      <c r="H225" s="6">
        <v>0.15</v>
      </c>
      <c r="I225" s="5">
        <v>52.17</v>
      </c>
      <c r="J225" s="5">
        <v>41.23</v>
      </c>
      <c r="K225" s="5">
        <v>10.94</v>
      </c>
      <c r="L225" t="s">
        <v>37</v>
      </c>
      <c r="M225" t="s">
        <v>258</v>
      </c>
    </row>
    <row r="226" spans="1:13" x14ac:dyDescent="0.3">
      <c r="A226" t="s">
        <v>278</v>
      </c>
      <c r="B226" s="4">
        <v>45793</v>
      </c>
      <c r="C226" t="s">
        <v>51</v>
      </c>
      <c r="D226" t="s">
        <v>35</v>
      </c>
      <c r="E226" t="s">
        <v>45</v>
      </c>
      <c r="F226">
        <v>1</v>
      </c>
      <c r="G226" s="5">
        <v>165.43</v>
      </c>
      <c r="H226" s="6">
        <v>0</v>
      </c>
      <c r="I226" s="5">
        <v>165.43</v>
      </c>
      <c r="J226" s="5">
        <v>121.91</v>
      </c>
      <c r="K226" s="5">
        <v>43.52</v>
      </c>
      <c r="L226" t="s">
        <v>37</v>
      </c>
      <c r="M226" t="s">
        <v>258</v>
      </c>
    </row>
    <row r="227" spans="1:13" x14ac:dyDescent="0.3">
      <c r="A227" t="s">
        <v>279</v>
      </c>
      <c r="B227" s="4">
        <v>45794</v>
      </c>
      <c r="C227" t="s">
        <v>51</v>
      </c>
      <c r="D227" t="s">
        <v>26</v>
      </c>
      <c r="E227" t="s">
        <v>53</v>
      </c>
      <c r="F227">
        <v>5</v>
      </c>
      <c r="G227" s="5">
        <v>7.4</v>
      </c>
      <c r="H227" s="6">
        <v>0</v>
      </c>
      <c r="I227" s="5">
        <v>37</v>
      </c>
      <c r="J227" s="5">
        <v>25.34</v>
      </c>
      <c r="K227" s="5">
        <v>11.66</v>
      </c>
      <c r="L227" t="s">
        <v>28</v>
      </c>
      <c r="M227" t="s">
        <v>258</v>
      </c>
    </row>
    <row r="228" spans="1:13" x14ac:dyDescent="0.3">
      <c r="A228" t="s">
        <v>280</v>
      </c>
      <c r="B228" s="4">
        <v>45794</v>
      </c>
      <c r="C228" t="s">
        <v>51</v>
      </c>
      <c r="D228" t="s">
        <v>26</v>
      </c>
      <c r="E228" t="s">
        <v>68</v>
      </c>
      <c r="F228">
        <v>8</v>
      </c>
      <c r="G228" s="5">
        <v>8.98</v>
      </c>
      <c r="H228" s="6">
        <v>0</v>
      </c>
      <c r="I228" s="5">
        <v>71.84</v>
      </c>
      <c r="J228" s="5">
        <v>44.36</v>
      </c>
      <c r="K228" s="5">
        <v>27.48</v>
      </c>
      <c r="L228" t="s">
        <v>37</v>
      </c>
      <c r="M228" t="s">
        <v>258</v>
      </c>
    </row>
    <row r="229" spans="1:13" x14ac:dyDescent="0.3">
      <c r="A229" t="s">
        <v>281</v>
      </c>
      <c r="B229" s="4">
        <v>45794</v>
      </c>
      <c r="C229" t="s">
        <v>39</v>
      </c>
      <c r="D229" t="s">
        <v>26</v>
      </c>
      <c r="E229" t="s">
        <v>32</v>
      </c>
      <c r="F229">
        <v>4</v>
      </c>
      <c r="G229" s="5">
        <v>3.11</v>
      </c>
      <c r="H229" s="6">
        <v>0.1</v>
      </c>
      <c r="I229" s="5">
        <v>11.2</v>
      </c>
      <c r="J229" s="5">
        <v>7.45</v>
      </c>
      <c r="K229" s="5">
        <v>3.75</v>
      </c>
      <c r="L229" t="s">
        <v>28</v>
      </c>
      <c r="M229" t="s">
        <v>258</v>
      </c>
    </row>
    <row r="230" spans="1:13" x14ac:dyDescent="0.3">
      <c r="A230" t="s">
        <v>282</v>
      </c>
      <c r="B230" s="4">
        <v>45796</v>
      </c>
      <c r="C230" t="s">
        <v>51</v>
      </c>
      <c r="D230" t="s">
        <v>35</v>
      </c>
      <c r="E230" t="s">
        <v>36</v>
      </c>
      <c r="F230">
        <v>8</v>
      </c>
      <c r="G230" s="5">
        <v>88.35</v>
      </c>
      <c r="H230" s="6">
        <v>0.2</v>
      </c>
      <c r="I230" s="5">
        <v>565.44000000000005</v>
      </c>
      <c r="J230" s="5">
        <v>447.93</v>
      </c>
      <c r="K230" s="5">
        <v>117.51</v>
      </c>
      <c r="L230" t="s">
        <v>33</v>
      </c>
      <c r="M230" t="s">
        <v>258</v>
      </c>
    </row>
    <row r="231" spans="1:13" x14ac:dyDescent="0.3">
      <c r="A231" t="s">
        <v>283</v>
      </c>
      <c r="B231" s="4">
        <v>45797</v>
      </c>
      <c r="C231" t="s">
        <v>25</v>
      </c>
      <c r="D231" t="s">
        <v>35</v>
      </c>
      <c r="E231" t="s">
        <v>47</v>
      </c>
      <c r="F231">
        <v>5</v>
      </c>
      <c r="G231" s="5">
        <v>377.33</v>
      </c>
      <c r="H231" s="6">
        <v>0.2</v>
      </c>
      <c r="I231" s="5">
        <v>1509.32</v>
      </c>
      <c r="J231" s="5">
        <v>1005.03</v>
      </c>
      <c r="K231" s="5">
        <v>504.29</v>
      </c>
      <c r="L231" t="s">
        <v>37</v>
      </c>
      <c r="M231" t="s">
        <v>258</v>
      </c>
    </row>
    <row r="232" spans="1:13" x14ac:dyDescent="0.3">
      <c r="A232" t="s">
        <v>284</v>
      </c>
      <c r="B232" s="4">
        <v>45799</v>
      </c>
      <c r="C232" t="s">
        <v>39</v>
      </c>
      <c r="D232" t="s">
        <v>35</v>
      </c>
      <c r="E232" t="s">
        <v>103</v>
      </c>
      <c r="F232">
        <v>8</v>
      </c>
      <c r="G232" s="5">
        <v>117.84</v>
      </c>
      <c r="H232" s="6">
        <v>0.05</v>
      </c>
      <c r="I232" s="5">
        <v>895.58</v>
      </c>
      <c r="J232" s="5">
        <v>719.28</v>
      </c>
      <c r="K232" s="5">
        <v>176.3</v>
      </c>
      <c r="L232" t="s">
        <v>28</v>
      </c>
      <c r="M232" t="s">
        <v>258</v>
      </c>
    </row>
    <row r="233" spans="1:13" x14ac:dyDescent="0.3">
      <c r="A233" t="s">
        <v>285</v>
      </c>
      <c r="B233" s="4">
        <v>45801</v>
      </c>
      <c r="C233" t="s">
        <v>25</v>
      </c>
      <c r="D233" t="s">
        <v>26</v>
      </c>
      <c r="E233" t="s">
        <v>68</v>
      </c>
      <c r="F233">
        <v>1</v>
      </c>
      <c r="G233" s="5">
        <v>3.71</v>
      </c>
      <c r="H233" s="6">
        <v>0.05</v>
      </c>
      <c r="I233" s="5">
        <v>3.52</v>
      </c>
      <c r="J233" s="5">
        <v>2.4700000000000002</v>
      </c>
      <c r="K233" s="5">
        <v>1.05</v>
      </c>
      <c r="L233" t="s">
        <v>33</v>
      </c>
      <c r="M233" t="s">
        <v>258</v>
      </c>
    </row>
    <row r="234" spans="1:13" x14ac:dyDescent="0.3">
      <c r="A234" t="s">
        <v>286</v>
      </c>
      <c r="B234" s="4">
        <v>45803</v>
      </c>
      <c r="C234" t="s">
        <v>39</v>
      </c>
      <c r="D234" t="s">
        <v>42</v>
      </c>
      <c r="E234" t="s">
        <v>72</v>
      </c>
      <c r="F234">
        <v>2</v>
      </c>
      <c r="G234" s="5">
        <v>723.51</v>
      </c>
      <c r="H234" s="6">
        <v>0</v>
      </c>
      <c r="I234" s="5">
        <v>1447.02</v>
      </c>
      <c r="J234" s="5">
        <v>972.64</v>
      </c>
      <c r="K234" s="5">
        <v>474.38</v>
      </c>
      <c r="L234" t="s">
        <v>33</v>
      </c>
      <c r="M234" t="s">
        <v>258</v>
      </c>
    </row>
    <row r="235" spans="1:13" x14ac:dyDescent="0.3">
      <c r="A235" t="s">
        <v>287</v>
      </c>
      <c r="B235" s="4">
        <v>45804</v>
      </c>
      <c r="C235" t="s">
        <v>51</v>
      </c>
      <c r="D235" t="s">
        <v>26</v>
      </c>
      <c r="E235" t="s">
        <v>68</v>
      </c>
      <c r="F235">
        <v>1</v>
      </c>
      <c r="G235" s="5">
        <v>9.43</v>
      </c>
      <c r="H235" s="6">
        <v>0.15</v>
      </c>
      <c r="I235" s="5">
        <v>8.02</v>
      </c>
      <c r="J235" s="5">
        <v>6.31</v>
      </c>
      <c r="K235" s="5">
        <v>1.71</v>
      </c>
      <c r="L235" t="s">
        <v>28</v>
      </c>
      <c r="M235" t="s">
        <v>258</v>
      </c>
    </row>
    <row r="236" spans="1:13" x14ac:dyDescent="0.3">
      <c r="A236" t="s">
        <v>288</v>
      </c>
      <c r="B236" s="4">
        <v>45805</v>
      </c>
      <c r="C236" t="s">
        <v>51</v>
      </c>
      <c r="D236" t="s">
        <v>42</v>
      </c>
      <c r="E236" t="s">
        <v>43</v>
      </c>
      <c r="F236">
        <v>8</v>
      </c>
      <c r="G236" s="5">
        <v>121.78</v>
      </c>
      <c r="H236" s="6">
        <v>0.05</v>
      </c>
      <c r="I236" s="5">
        <v>925.53</v>
      </c>
      <c r="J236" s="5">
        <v>688.08</v>
      </c>
      <c r="K236" s="5">
        <v>237.45</v>
      </c>
      <c r="L236" t="s">
        <v>33</v>
      </c>
      <c r="M236" t="s">
        <v>258</v>
      </c>
    </row>
    <row r="237" spans="1:13" x14ac:dyDescent="0.3">
      <c r="A237" t="s">
        <v>289</v>
      </c>
      <c r="B237" s="4">
        <v>45806</v>
      </c>
      <c r="C237" t="s">
        <v>39</v>
      </c>
      <c r="D237" t="s">
        <v>42</v>
      </c>
      <c r="E237" t="s">
        <v>43</v>
      </c>
      <c r="F237">
        <v>2</v>
      </c>
      <c r="G237" s="5">
        <v>40.93</v>
      </c>
      <c r="H237" s="6">
        <v>0.05</v>
      </c>
      <c r="I237" s="5">
        <v>77.77</v>
      </c>
      <c r="J237" s="5">
        <v>57.39</v>
      </c>
      <c r="K237" s="5">
        <v>20.38</v>
      </c>
      <c r="L237" t="s">
        <v>33</v>
      </c>
      <c r="M237" t="s">
        <v>258</v>
      </c>
    </row>
    <row r="238" spans="1:13" x14ac:dyDescent="0.3">
      <c r="A238" t="s">
        <v>290</v>
      </c>
      <c r="B238" s="4">
        <v>45807</v>
      </c>
      <c r="C238" t="s">
        <v>39</v>
      </c>
      <c r="D238" t="s">
        <v>42</v>
      </c>
      <c r="E238" t="s">
        <v>59</v>
      </c>
      <c r="F238">
        <v>4</v>
      </c>
      <c r="G238" s="5">
        <v>300.32</v>
      </c>
      <c r="H238" s="6">
        <v>0.1</v>
      </c>
      <c r="I238" s="5">
        <v>1081.1500000000001</v>
      </c>
      <c r="J238" s="5">
        <v>904.56</v>
      </c>
      <c r="K238" s="5">
        <v>176.59</v>
      </c>
      <c r="L238" t="s">
        <v>37</v>
      </c>
      <c r="M238" t="s">
        <v>258</v>
      </c>
    </row>
    <row r="239" spans="1:13" x14ac:dyDescent="0.3">
      <c r="A239" t="s">
        <v>291</v>
      </c>
      <c r="B239" s="4">
        <v>45807</v>
      </c>
      <c r="C239" t="s">
        <v>51</v>
      </c>
      <c r="D239" t="s">
        <v>42</v>
      </c>
      <c r="E239" t="s">
        <v>43</v>
      </c>
      <c r="F239">
        <v>8</v>
      </c>
      <c r="G239" s="5">
        <v>122.13</v>
      </c>
      <c r="H239" s="6">
        <v>0</v>
      </c>
      <c r="I239" s="5">
        <v>977.04</v>
      </c>
      <c r="J239" s="5">
        <v>696.11</v>
      </c>
      <c r="K239" s="5">
        <v>280.93</v>
      </c>
      <c r="L239" t="s">
        <v>28</v>
      </c>
      <c r="M239" t="s">
        <v>258</v>
      </c>
    </row>
    <row r="240" spans="1:13" x14ac:dyDescent="0.3">
      <c r="A240" t="s">
        <v>292</v>
      </c>
      <c r="B240" s="4">
        <v>45807</v>
      </c>
      <c r="C240" t="s">
        <v>25</v>
      </c>
      <c r="D240" t="s">
        <v>35</v>
      </c>
      <c r="E240" t="s">
        <v>36</v>
      </c>
      <c r="F240">
        <v>8</v>
      </c>
      <c r="G240" s="5">
        <v>150.36000000000001</v>
      </c>
      <c r="H240" s="6">
        <v>0</v>
      </c>
      <c r="I240" s="5">
        <v>1202.8800000000001</v>
      </c>
      <c r="J240" s="5">
        <v>922.2</v>
      </c>
      <c r="K240" s="5">
        <v>280.68</v>
      </c>
      <c r="L240" t="s">
        <v>33</v>
      </c>
      <c r="M240" t="s">
        <v>258</v>
      </c>
    </row>
    <row r="241" spans="1:13" x14ac:dyDescent="0.3">
      <c r="A241" t="s">
        <v>293</v>
      </c>
      <c r="B241" s="4">
        <v>45807</v>
      </c>
      <c r="C241" t="s">
        <v>51</v>
      </c>
      <c r="D241" t="s">
        <v>42</v>
      </c>
      <c r="E241" t="s">
        <v>43</v>
      </c>
      <c r="F241">
        <v>1</v>
      </c>
      <c r="G241" s="5">
        <v>58.6</v>
      </c>
      <c r="H241" s="6">
        <v>0</v>
      </c>
      <c r="I241" s="5">
        <v>58.6</v>
      </c>
      <c r="J241" s="5">
        <v>37.53</v>
      </c>
      <c r="K241" s="5">
        <v>21.07</v>
      </c>
      <c r="L241" t="s">
        <v>28</v>
      </c>
      <c r="M241" t="s">
        <v>258</v>
      </c>
    </row>
    <row r="242" spans="1:13" x14ac:dyDescent="0.3">
      <c r="A242" t="s">
        <v>294</v>
      </c>
      <c r="B242" s="4">
        <v>45808</v>
      </c>
      <c r="C242" t="s">
        <v>31</v>
      </c>
      <c r="D242" t="s">
        <v>35</v>
      </c>
      <c r="E242" t="s">
        <v>103</v>
      </c>
      <c r="F242">
        <v>6</v>
      </c>
      <c r="G242" s="5">
        <v>258.97000000000003</v>
      </c>
      <c r="H242" s="6">
        <v>0.1</v>
      </c>
      <c r="I242" s="5">
        <v>1398.44</v>
      </c>
      <c r="J242" s="5">
        <v>1067.9100000000001</v>
      </c>
      <c r="K242" s="5">
        <v>330.53</v>
      </c>
      <c r="L242" t="s">
        <v>33</v>
      </c>
      <c r="M242" t="s">
        <v>258</v>
      </c>
    </row>
    <row r="243" spans="1:13" x14ac:dyDescent="0.3">
      <c r="A243" t="s">
        <v>295</v>
      </c>
      <c r="B243" s="4">
        <v>45809</v>
      </c>
      <c r="C243" t="s">
        <v>25</v>
      </c>
      <c r="D243" t="s">
        <v>26</v>
      </c>
      <c r="E243" t="s">
        <v>27</v>
      </c>
      <c r="F243">
        <v>6</v>
      </c>
      <c r="G243" s="5">
        <v>29.03</v>
      </c>
      <c r="H243" s="6">
        <v>0.1</v>
      </c>
      <c r="I243" s="5">
        <v>156.76</v>
      </c>
      <c r="J243" s="5">
        <v>133.31</v>
      </c>
      <c r="K243" s="5">
        <v>23.45</v>
      </c>
      <c r="L243" t="s">
        <v>33</v>
      </c>
      <c r="M243" t="s">
        <v>296</v>
      </c>
    </row>
    <row r="244" spans="1:13" x14ac:dyDescent="0.3">
      <c r="A244" t="s">
        <v>297</v>
      </c>
      <c r="B244" s="4">
        <v>45809</v>
      </c>
      <c r="C244" t="s">
        <v>31</v>
      </c>
      <c r="D244" t="s">
        <v>26</v>
      </c>
      <c r="E244" t="s">
        <v>68</v>
      </c>
      <c r="F244">
        <v>4</v>
      </c>
      <c r="G244" s="5">
        <v>3.81</v>
      </c>
      <c r="H244" s="6">
        <v>0.05</v>
      </c>
      <c r="I244" s="5">
        <v>14.48</v>
      </c>
      <c r="J244" s="5">
        <v>9.24</v>
      </c>
      <c r="K244" s="5">
        <v>5.24</v>
      </c>
      <c r="L244" t="s">
        <v>37</v>
      </c>
      <c r="M244" t="s">
        <v>296</v>
      </c>
    </row>
    <row r="245" spans="1:13" x14ac:dyDescent="0.3">
      <c r="A245" t="s">
        <v>298</v>
      </c>
      <c r="B245" s="4">
        <v>45810</v>
      </c>
      <c r="C245" t="s">
        <v>39</v>
      </c>
      <c r="D245" t="s">
        <v>26</v>
      </c>
      <c r="E245" t="s">
        <v>53</v>
      </c>
      <c r="F245">
        <v>2</v>
      </c>
      <c r="G245" s="5">
        <v>23.69</v>
      </c>
      <c r="H245" s="6">
        <v>0</v>
      </c>
      <c r="I245" s="5">
        <v>47.38</v>
      </c>
      <c r="J245" s="5">
        <v>28.26</v>
      </c>
      <c r="K245" s="5">
        <v>19.12</v>
      </c>
      <c r="L245" t="s">
        <v>37</v>
      </c>
      <c r="M245" t="s">
        <v>296</v>
      </c>
    </row>
    <row r="246" spans="1:13" x14ac:dyDescent="0.3">
      <c r="A246" t="s">
        <v>299</v>
      </c>
      <c r="B246" s="4">
        <v>45810</v>
      </c>
      <c r="C246" t="s">
        <v>51</v>
      </c>
      <c r="D246" t="s">
        <v>26</v>
      </c>
      <c r="E246" t="s">
        <v>27</v>
      </c>
      <c r="F246">
        <v>2</v>
      </c>
      <c r="G246" s="5">
        <v>6.06</v>
      </c>
      <c r="H246" s="6">
        <v>0</v>
      </c>
      <c r="I246" s="5">
        <v>12.12</v>
      </c>
      <c r="J246" s="5">
        <v>7.96</v>
      </c>
      <c r="K246" s="5">
        <v>4.16</v>
      </c>
      <c r="L246" t="s">
        <v>28</v>
      </c>
      <c r="M246" t="s">
        <v>296</v>
      </c>
    </row>
    <row r="247" spans="1:13" x14ac:dyDescent="0.3">
      <c r="A247" t="s">
        <v>300</v>
      </c>
      <c r="B247" s="4">
        <v>45810</v>
      </c>
      <c r="C247" t="s">
        <v>25</v>
      </c>
      <c r="D247" t="s">
        <v>26</v>
      </c>
      <c r="E247" t="s">
        <v>68</v>
      </c>
      <c r="F247">
        <v>2</v>
      </c>
      <c r="G247" s="5">
        <v>8.39</v>
      </c>
      <c r="H247" s="6">
        <v>0.1</v>
      </c>
      <c r="I247" s="5">
        <v>15.1</v>
      </c>
      <c r="J247" s="5">
        <v>10.85</v>
      </c>
      <c r="K247" s="5">
        <v>4.25</v>
      </c>
      <c r="L247" t="s">
        <v>28</v>
      </c>
      <c r="M247" t="s">
        <v>296</v>
      </c>
    </row>
    <row r="248" spans="1:13" x14ac:dyDescent="0.3">
      <c r="A248" t="s">
        <v>301</v>
      </c>
      <c r="B248" s="4">
        <v>45810</v>
      </c>
      <c r="C248" t="s">
        <v>25</v>
      </c>
      <c r="D248" t="s">
        <v>26</v>
      </c>
      <c r="E248" t="s">
        <v>53</v>
      </c>
      <c r="F248">
        <v>3</v>
      </c>
      <c r="G248" s="5">
        <v>18.64</v>
      </c>
      <c r="H248" s="6">
        <v>0.2</v>
      </c>
      <c r="I248" s="5">
        <v>44.74</v>
      </c>
      <c r="J248" s="5">
        <v>38.93</v>
      </c>
      <c r="K248" s="5">
        <v>5.81</v>
      </c>
      <c r="L248" t="s">
        <v>28</v>
      </c>
      <c r="M248" t="s">
        <v>296</v>
      </c>
    </row>
    <row r="249" spans="1:13" x14ac:dyDescent="0.3">
      <c r="A249" t="s">
        <v>302</v>
      </c>
      <c r="B249" s="4">
        <v>45813</v>
      </c>
      <c r="C249" t="s">
        <v>51</v>
      </c>
      <c r="D249" t="s">
        <v>42</v>
      </c>
      <c r="E249" t="s">
        <v>59</v>
      </c>
      <c r="F249">
        <v>1</v>
      </c>
      <c r="G249" s="5">
        <v>331.83</v>
      </c>
      <c r="H249" s="6">
        <v>0</v>
      </c>
      <c r="I249" s="5">
        <v>331.83</v>
      </c>
      <c r="J249" s="5">
        <v>254.35</v>
      </c>
      <c r="K249" s="5">
        <v>77.48</v>
      </c>
      <c r="L249" t="s">
        <v>33</v>
      </c>
      <c r="M249" t="s">
        <v>296</v>
      </c>
    </row>
    <row r="250" spans="1:13" x14ac:dyDescent="0.3">
      <c r="A250" t="s">
        <v>303</v>
      </c>
      <c r="B250" s="4">
        <v>45814</v>
      </c>
      <c r="C250" t="s">
        <v>25</v>
      </c>
      <c r="D250" t="s">
        <v>26</v>
      </c>
      <c r="E250" t="s">
        <v>65</v>
      </c>
      <c r="F250">
        <v>4</v>
      </c>
      <c r="G250" s="5">
        <v>17.95</v>
      </c>
      <c r="H250" s="6">
        <v>0</v>
      </c>
      <c r="I250" s="5">
        <v>71.8</v>
      </c>
      <c r="J250" s="5">
        <v>41.92</v>
      </c>
      <c r="K250" s="5">
        <v>29.88</v>
      </c>
      <c r="L250" t="s">
        <v>33</v>
      </c>
      <c r="M250" t="s">
        <v>296</v>
      </c>
    </row>
    <row r="251" spans="1:13" x14ac:dyDescent="0.3">
      <c r="A251" t="s">
        <v>304</v>
      </c>
      <c r="B251" s="4">
        <v>45815</v>
      </c>
      <c r="C251" t="s">
        <v>39</v>
      </c>
      <c r="D251" t="s">
        <v>35</v>
      </c>
      <c r="E251" t="s">
        <v>36</v>
      </c>
      <c r="F251">
        <v>5</v>
      </c>
      <c r="G251" s="5">
        <v>220.91</v>
      </c>
      <c r="H251" s="6">
        <v>0.05</v>
      </c>
      <c r="I251" s="5">
        <v>1049.32</v>
      </c>
      <c r="J251" s="5">
        <v>855.62</v>
      </c>
      <c r="K251" s="5">
        <v>193.7</v>
      </c>
      <c r="L251" t="s">
        <v>33</v>
      </c>
      <c r="M251" t="s">
        <v>296</v>
      </c>
    </row>
    <row r="252" spans="1:13" x14ac:dyDescent="0.3">
      <c r="A252" t="s">
        <v>305</v>
      </c>
      <c r="B252" s="4">
        <v>45815</v>
      </c>
      <c r="C252" t="s">
        <v>31</v>
      </c>
      <c r="D252" t="s">
        <v>26</v>
      </c>
      <c r="E252" t="s">
        <v>27</v>
      </c>
      <c r="F252">
        <v>1</v>
      </c>
      <c r="G252" s="5">
        <v>23.09</v>
      </c>
      <c r="H252" s="6">
        <v>0.15</v>
      </c>
      <c r="I252" s="5">
        <v>19.63</v>
      </c>
      <c r="J252" s="5">
        <v>16.36</v>
      </c>
      <c r="K252" s="5">
        <v>3.27</v>
      </c>
      <c r="L252" t="s">
        <v>37</v>
      </c>
      <c r="M252" t="s">
        <v>296</v>
      </c>
    </row>
    <row r="253" spans="1:13" x14ac:dyDescent="0.3">
      <c r="A253" t="s">
        <v>306</v>
      </c>
      <c r="B253" s="4">
        <v>45816</v>
      </c>
      <c r="C253" t="s">
        <v>39</v>
      </c>
      <c r="D253" t="s">
        <v>42</v>
      </c>
      <c r="E253" t="s">
        <v>43</v>
      </c>
      <c r="F253">
        <v>3</v>
      </c>
      <c r="G253" s="5">
        <v>174.5</v>
      </c>
      <c r="H253" s="6">
        <v>0</v>
      </c>
      <c r="I253" s="5">
        <v>523.5</v>
      </c>
      <c r="J253" s="5">
        <v>339.74</v>
      </c>
      <c r="K253" s="5">
        <v>183.76</v>
      </c>
      <c r="L253" t="s">
        <v>33</v>
      </c>
      <c r="M253" t="s">
        <v>296</v>
      </c>
    </row>
    <row r="254" spans="1:13" x14ac:dyDescent="0.3">
      <c r="A254" t="s">
        <v>307</v>
      </c>
      <c r="B254" s="4">
        <v>45816</v>
      </c>
      <c r="C254" t="s">
        <v>39</v>
      </c>
      <c r="D254" t="s">
        <v>26</v>
      </c>
      <c r="E254" t="s">
        <v>27</v>
      </c>
      <c r="F254">
        <v>6</v>
      </c>
      <c r="G254" s="5">
        <v>6.65</v>
      </c>
      <c r="H254" s="6">
        <v>0</v>
      </c>
      <c r="I254" s="5">
        <v>39.9</v>
      </c>
      <c r="J254" s="5">
        <v>23.29</v>
      </c>
      <c r="K254" s="5">
        <v>16.61</v>
      </c>
      <c r="L254" t="s">
        <v>37</v>
      </c>
      <c r="M254" t="s">
        <v>296</v>
      </c>
    </row>
    <row r="255" spans="1:13" x14ac:dyDescent="0.3">
      <c r="A255" t="s">
        <v>308</v>
      </c>
      <c r="B255" s="4">
        <v>45816</v>
      </c>
      <c r="C255" t="s">
        <v>39</v>
      </c>
      <c r="D255" t="s">
        <v>26</v>
      </c>
      <c r="E255" t="s">
        <v>65</v>
      </c>
      <c r="F255">
        <v>7</v>
      </c>
      <c r="G255" s="5">
        <v>13.24</v>
      </c>
      <c r="H255" s="6">
        <v>0.05</v>
      </c>
      <c r="I255" s="5">
        <v>88.05</v>
      </c>
      <c r="J255" s="5">
        <v>70.16</v>
      </c>
      <c r="K255" s="5">
        <v>17.89</v>
      </c>
      <c r="L255" t="s">
        <v>37</v>
      </c>
      <c r="M255" t="s">
        <v>296</v>
      </c>
    </row>
    <row r="256" spans="1:13" x14ac:dyDescent="0.3">
      <c r="A256" t="s">
        <v>309</v>
      </c>
      <c r="B256" s="4">
        <v>45816</v>
      </c>
      <c r="C256" t="s">
        <v>31</v>
      </c>
      <c r="D256" t="s">
        <v>35</v>
      </c>
      <c r="E256" t="s">
        <v>103</v>
      </c>
      <c r="F256">
        <v>1</v>
      </c>
      <c r="G256" s="5">
        <v>112.81</v>
      </c>
      <c r="H256" s="6">
        <v>0</v>
      </c>
      <c r="I256" s="5">
        <v>112.81</v>
      </c>
      <c r="J256" s="5">
        <v>61.04</v>
      </c>
      <c r="K256" s="5">
        <v>51.77</v>
      </c>
      <c r="L256" t="s">
        <v>33</v>
      </c>
      <c r="M256" t="s">
        <v>296</v>
      </c>
    </row>
    <row r="257" spans="1:13" x14ac:dyDescent="0.3">
      <c r="A257" t="s">
        <v>310</v>
      </c>
      <c r="B257" s="4">
        <v>45816</v>
      </c>
      <c r="C257" t="s">
        <v>25</v>
      </c>
      <c r="D257" t="s">
        <v>26</v>
      </c>
      <c r="E257" t="s">
        <v>68</v>
      </c>
      <c r="F257">
        <v>1</v>
      </c>
      <c r="G257" s="5">
        <v>5.16</v>
      </c>
      <c r="H257" s="6">
        <v>0</v>
      </c>
      <c r="I257" s="5">
        <v>5.16</v>
      </c>
      <c r="J257" s="5">
        <v>3.7</v>
      </c>
      <c r="K257" s="5">
        <v>1.46</v>
      </c>
      <c r="L257" t="s">
        <v>33</v>
      </c>
      <c r="M257" t="s">
        <v>296</v>
      </c>
    </row>
    <row r="258" spans="1:13" x14ac:dyDescent="0.3">
      <c r="A258" t="s">
        <v>311</v>
      </c>
      <c r="B258" s="4">
        <v>45816</v>
      </c>
      <c r="C258" t="s">
        <v>51</v>
      </c>
      <c r="D258" t="s">
        <v>42</v>
      </c>
      <c r="E258" t="s">
        <v>43</v>
      </c>
      <c r="F258">
        <v>4</v>
      </c>
      <c r="G258" s="5">
        <v>154.56</v>
      </c>
      <c r="H258" s="6">
        <v>0</v>
      </c>
      <c r="I258" s="5">
        <v>618.24</v>
      </c>
      <c r="J258" s="5">
        <v>458.7</v>
      </c>
      <c r="K258" s="5">
        <v>159.54</v>
      </c>
      <c r="L258" t="s">
        <v>37</v>
      </c>
      <c r="M258" t="s">
        <v>296</v>
      </c>
    </row>
    <row r="259" spans="1:13" x14ac:dyDescent="0.3">
      <c r="A259" t="s">
        <v>312</v>
      </c>
      <c r="B259" s="4">
        <v>45817</v>
      </c>
      <c r="C259" t="s">
        <v>31</v>
      </c>
      <c r="D259" t="s">
        <v>42</v>
      </c>
      <c r="E259" t="s">
        <v>97</v>
      </c>
      <c r="F259">
        <v>3</v>
      </c>
      <c r="G259" s="5">
        <v>14.87</v>
      </c>
      <c r="H259" s="6">
        <v>0</v>
      </c>
      <c r="I259" s="5">
        <v>44.61</v>
      </c>
      <c r="J259" s="5">
        <v>29.58</v>
      </c>
      <c r="K259" s="5">
        <v>15.03</v>
      </c>
      <c r="L259" t="s">
        <v>37</v>
      </c>
      <c r="M259" t="s">
        <v>296</v>
      </c>
    </row>
    <row r="260" spans="1:13" x14ac:dyDescent="0.3">
      <c r="A260" t="s">
        <v>313</v>
      </c>
      <c r="B260" s="4">
        <v>45817</v>
      </c>
      <c r="C260" t="s">
        <v>39</v>
      </c>
      <c r="D260" t="s">
        <v>35</v>
      </c>
      <c r="E260" t="s">
        <v>40</v>
      </c>
      <c r="F260">
        <v>4</v>
      </c>
      <c r="G260" s="5">
        <v>215.21</v>
      </c>
      <c r="H260" s="6">
        <v>0.15</v>
      </c>
      <c r="I260" s="5">
        <v>731.71</v>
      </c>
      <c r="J260" s="5">
        <v>575.09</v>
      </c>
      <c r="K260" s="5">
        <v>156.62</v>
      </c>
      <c r="L260" t="s">
        <v>37</v>
      </c>
      <c r="M260" t="s">
        <v>296</v>
      </c>
    </row>
    <row r="261" spans="1:13" x14ac:dyDescent="0.3">
      <c r="A261" t="s">
        <v>314</v>
      </c>
      <c r="B261" s="4">
        <v>45818</v>
      </c>
      <c r="C261" t="s">
        <v>31</v>
      </c>
      <c r="D261" t="s">
        <v>35</v>
      </c>
      <c r="E261" t="s">
        <v>47</v>
      </c>
      <c r="F261">
        <v>2</v>
      </c>
      <c r="G261" s="5">
        <v>153.84</v>
      </c>
      <c r="H261" s="6">
        <v>0</v>
      </c>
      <c r="I261" s="5">
        <v>307.68</v>
      </c>
      <c r="J261" s="5">
        <v>248.47</v>
      </c>
      <c r="K261" s="5">
        <v>59.21</v>
      </c>
      <c r="L261" t="s">
        <v>37</v>
      </c>
      <c r="M261" t="s">
        <v>296</v>
      </c>
    </row>
    <row r="262" spans="1:13" x14ac:dyDescent="0.3">
      <c r="A262" t="s">
        <v>315</v>
      </c>
      <c r="B262" s="4">
        <v>45818</v>
      </c>
      <c r="C262" t="s">
        <v>31</v>
      </c>
      <c r="D262" t="s">
        <v>42</v>
      </c>
      <c r="E262" t="s">
        <v>97</v>
      </c>
      <c r="F262">
        <v>2</v>
      </c>
      <c r="G262" s="5">
        <v>10.74</v>
      </c>
      <c r="H262" s="6">
        <v>0.05</v>
      </c>
      <c r="I262" s="5">
        <v>20.41</v>
      </c>
      <c r="J262" s="5">
        <v>14.44</v>
      </c>
      <c r="K262" s="5">
        <v>5.97</v>
      </c>
      <c r="L262" t="s">
        <v>37</v>
      </c>
      <c r="M262" t="s">
        <v>296</v>
      </c>
    </row>
    <row r="263" spans="1:13" x14ac:dyDescent="0.3">
      <c r="A263" t="s">
        <v>316</v>
      </c>
      <c r="B263" s="4">
        <v>45818</v>
      </c>
      <c r="C263" t="s">
        <v>31</v>
      </c>
      <c r="D263" t="s">
        <v>26</v>
      </c>
      <c r="E263" t="s">
        <v>32</v>
      </c>
      <c r="F263">
        <v>7</v>
      </c>
      <c r="G263" s="5">
        <v>10.83</v>
      </c>
      <c r="H263" s="6">
        <v>0</v>
      </c>
      <c r="I263" s="5">
        <v>75.81</v>
      </c>
      <c r="J263" s="5">
        <v>52.25</v>
      </c>
      <c r="K263" s="5">
        <v>23.56</v>
      </c>
      <c r="L263" t="s">
        <v>28</v>
      </c>
      <c r="M263" t="s">
        <v>296</v>
      </c>
    </row>
    <row r="264" spans="1:13" x14ac:dyDescent="0.3">
      <c r="A264" t="s">
        <v>317</v>
      </c>
      <c r="B264" s="4">
        <v>45819</v>
      </c>
      <c r="C264" t="s">
        <v>51</v>
      </c>
      <c r="D264" t="s">
        <v>26</v>
      </c>
      <c r="E264" t="s">
        <v>27</v>
      </c>
      <c r="F264">
        <v>2</v>
      </c>
      <c r="G264" s="5">
        <v>18.41</v>
      </c>
      <c r="H264" s="6">
        <v>0.2</v>
      </c>
      <c r="I264" s="5">
        <v>29.46</v>
      </c>
      <c r="J264" s="5">
        <v>29.79</v>
      </c>
      <c r="K264" s="5">
        <v>-0.33</v>
      </c>
      <c r="L264" t="s">
        <v>37</v>
      </c>
      <c r="M264" t="s">
        <v>296</v>
      </c>
    </row>
    <row r="265" spans="1:13" x14ac:dyDescent="0.3">
      <c r="A265" t="s">
        <v>318</v>
      </c>
      <c r="B265" s="4">
        <v>45819</v>
      </c>
      <c r="C265" t="s">
        <v>39</v>
      </c>
      <c r="D265" t="s">
        <v>42</v>
      </c>
      <c r="E265" t="s">
        <v>72</v>
      </c>
      <c r="F265">
        <v>3</v>
      </c>
      <c r="G265" s="5">
        <v>1158.1099999999999</v>
      </c>
      <c r="H265" s="6">
        <v>0.05</v>
      </c>
      <c r="I265" s="5">
        <v>3300.61</v>
      </c>
      <c r="J265" s="5">
        <v>2051.4299999999998</v>
      </c>
      <c r="K265" s="5">
        <v>1249.18</v>
      </c>
      <c r="L265" t="s">
        <v>33</v>
      </c>
      <c r="M265" t="s">
        <v>296</v>
      </c>
    </row>
    <row r="266" spans="1:13" x14ac:dyDescent="0.3">
      <c r="A266" t="s">
        <v>319</v>
      </c>
      <c r="B266" s="4">
        <v>45820</v>
      </c>
      <c r="C266" t="s">
        <v>51</v>
      </c>
      <c r="D266" t="s">
        <v>42</v>
      </c>
      <c r="E266" t="s">
        <v>72</v>
      </c>
      <c r="F266">
        <v>1</v>
      </c>
      <c r="G266" s="5">
        <v>1100.48</v>
      </c>
      <c r="H266" s="6">
        <v>0.1</v>
      </c>
      <c r="I266" s="5">
        <v>990.43</v>
      </c>
      <c r="J266" s="5">
        <v>846.28</v>
      </c>
      <c r="K266" s="5">
        <v>144.15</v>
      </c>
      <c r="L266" t="s">
        <v>28</v>
      </c>
      <c r="M266" t="s">
        <v>296</v>
      </c>
    </row>
    <row r="267" spans="1:13" x14ac:dyDescent="0.3">
      <c r="A267" t="s">
        <v>320</v>
      </c>
      <c r="B267" s="4">
        <v>45820</v>
      </c>
      <c r="C267" t="s">
        <v>25</v>
      </c>
      <c r="D267" t="s">
        <v>35</v>
      </c>
      <c r="E267" t="s">
        <v>45</v>
      </c>
      <c r="F267">
        <v>7</v>
      </c>
      <c r="G267" s="5">
        <v>168.14</v>
      </c>
      <c r="H267" s="6">
        <v>0.1</v>
      </c>
      <c r="I267" s="5">
        <v>1059.28</v>
      </c>
      <c r="J267" s="5">
        <v>944.79</v>
      </c>
      <c r="K267" s="5">
        <v>114.49</v>
      </c>
      <c r="L267" t="s">
        <v>37</v>
      </c>
      <c r="M267" t="s">
        <v>296</v>
      </c>
    </row>
    <row r="268" spans="1:13" x14ac:dyDescent="0.3">
      <c r="A268" t="s">
        <v>321</v>
      </c>
      <c r="B268" s="4">
        <v>45821</v>
      </c>
      <c r="C268" t="s">
        <v>25</v>
      </c>
      <c r="D268" t="s">
        <v>26</v>
      </c>
      <c r="E268" t="s">
        <v>53</v>
      </c>
      <c r="F268">
        <v>8</v>
      </c>
      <c r="G268" s="5">
        <v>21.6</v>
      </c>
      <c r="H268" s="6">
        <v>0</v>
      </c>
      <c r="I268" s="5">
        <v>172.8</v>
      </c>
      <c r="J268" s="5">
        <v>117.15</v>
      </c>
      <c r="K268" s="5">
        <v>55.65</v>
      </c>
      <c r="L268" t="s">
        <v>37</v>
      </c>
      <c r="M268" t="s">
        <v>296</v>
      </c>
    </row>
    <row r="269" spans="1:13" x14ac:dyDescent="0.3">
      <c r="A269" t="s">
        <v>322</v>
      </c>
      <c r="B269" s="4">
        <v>45821</v>
      </c>
      <c r="C269" t="s">
        <v>39</v>
      </c>
      <c r="D269" t="s">
        <v>26</v>
      </c>
      <c r="E269" t="s">
        <v>32</v>
      </c>
      <c r="F269">
        <v>2</v>
      </c>
      <c r="G269" s="5">
        <v>4.8600000000000003</v>
      </c>
      <c r="H269" s="6">
        <v>0.1</v>
      </c>
      <c r="I269" s="5">
        <v>8.75</v>
      </c>
      <c r="J269" s="5">
        <v>6.79</v>
      </c>
      <c r="K269" s="5">
        <v>1.96</v>
      </c>
      <c r="L269" t="s">
        <v>28</v>
      </c>
      <c r="M269" t="s">
        <v>296</v>
      </c>
    </row>
    <row r="270" spans="1:13" x14ac:dyDescent="0.3">
      <c r="A270" t="s">
        <v>323</v>
      </c>
      <c r="B270" s="4">
        <v>45822</v>
      </c>
      <c r="C270" t="s">
        <v>31</v>
      </c>
      <c r="D270" t="s">
        <v>42</v>
      </c>
      <c r="E270" t="s">
        <v>43</v>
      </c>
      <c r="F270">
        <v>6</v>
      </c>
      <c r="G270" s="5">
        <v>76.040000000000006</v>
      </c>
      <c r="H270" s="6">
        <v>0.05</v>
      </c>
      <c r="I270" s="5">
        <v>433.43</v>
      </c>
      <c r="J270" s="5">
        <v>314.98</v>
      </c>
      <c r="K270" s="5">
        <v>118.45</v>
      </c>
      <c r="L270" t="s">
        <v>37</v>
      </c>
      <c r="M270" t="s">
        <v>296</v>
      </c>
    </row>
    <row r="271" spans="1:13" x14ac:dyDescent="0.3">
      <c r="A271" t="s">
        <v>324</v>
      </c>
      <c r="B271" s="4">
        <v>45822</v>
      </c>
      <c r="C271" t="s">
        <v>51</v>
      </c>
      <c r="D271" t="s">
        <v>26</v>
      </c>
      <c r="E271" t="s">
        <v>53</v>
      </c>
      <c r="F271">
        <v>7</v>
      </c>
      <c r="G271" s="5">
        <v>13.41</v>
      </c>
      <c r="H271" s="6">
        <v>0</v>
      </c>
      <c r="I271" s="5">
        <v>93.87</v>
      </c>
      <c r="J271" s="5">
        <v>59.87</v>
      </c>
      <c r="K271" s="5">
        <v>34</v>
      </c>
      <c r="L271" t="s">
        <v>28</v>
      </c>
      <c r="M271" t="s">
        <v>296</v>
      </c>
    </row>
    <row r="272" spans="1:13" x14ac:dyDescent="0.3">
      <c r="A272" t="s">
        <v>325</v>
      </c>
      <c r="B272" s="4">
        <v>45822</v>
      </c>
      <c r="C272" t="s">
        <v>25</v>
      </c>
      <c r="D272" t="s">
        <v>26</v>
      </c>
      <c r="E272" t="s">
        <v>27</v>
      </c>
      <c r="F272">
        <v>7</v>
      </c>
      <c r="G272" s="5">
        <v>9.69</v>
      </c>
      <c r="H272" s="6">
        <v>0.1</v>
      </c>
      <c r="I272" s="5">
        <v>61.05</v>
      </c>
      <c r="J272" s="5">
        <v>53.14</v>
      </c>
      <c r="K272" s="5">
        <v>7.91</v>
      </c>
      <c r="L272" t="s">
        <v>37</v>
      </c>
      <c r="M272" t="s">
        <v>296</v>
      </c>
    </row>
    <row r="273" spans="1:13" x14ac:dyDescent="0.3">
      <c r="A273" t="s">
        <v>326</v>
      </c>
      <c r="B273" s="4">
        <v>45823</v>
      </c>
      <c r="C273" t="s">
        <v>31</v>
      </c>
      <c r="D273" t="s">
        <v>26</v>
      </c>
      <c r="E273" t="s">
        <v>53</v>
      </c>
      <c r="F273">
        <v>4</v>
      </c>
      <c r="G273" s="5">
        <v>15.61</v>
      </c>
      <c r="H273" s="6">
        <v>0.05</v>
      </c>
      <c r="I273" s="5">
        <v>59.32</v>
      </c>
      <c r="J273" s="5">
        <v>47.95</v>
      </c>
      <c r="K273" s="5">
        <v>11.37</v>
      </c>
      <c r="L273" t="s">
        <v>37</v>
      </c>
      <c r="M273" t="s">
        <v>296</v>
      </c>
    </row>
    <row r="274" spans="1:13" x14ac:dyDescent="0.3">
      <c r="A274" t="s">
        <v>327</v>
      </c>
      <c r="B274" s="4">
        <v>45824</v>
      </c>
      <c r="C274" t="s">
        <v>25</v>
      </c>
      <c r="D274" t="s">
        <v>35</v>
      </c>
      <c r="E274" t="s">
        <v>36</v>
      </c>
      <c r="F274">
        <v>5</v>
      </c>
      <c r="G274" s="5">
        <v>229.15</v>
      </c>
      <c r="H274" s="6">
        <v>0.1</v>
      </c>
      <c r="I274" s="5">
        <v>1031.17</v>
      </c>
      <c r="J274" s="5">
        <v>834.52</v>
      </c>
      <c r="K274" s="5">
        <v>196.65</v>
      </c>
      <c r="L274" t="s">
        <v>37</v>
      </c>
      <c r="M274" t="s">
        <v>296</v>
      </c>
    </row>
    <row r="275" spans="1:13" x14ac:dyDescent="0.3">
      <c r="A275" t="s">
        <v>328</v>
      </c>
      <c r="B275" s="4">
        <v>45824</v>
      </c>
      <c r="C275" t="s">
        <v>25</v>
      </c>
      <c r="D275" t="s">
        <v>26</v>
      </c>
      <c r="E275" t="s">
        <v>53</v>
      </c>
      <c r="F275">
        <v>2</v>
      </c>
      <c r="G275" s="5">
        <v>5.42</v>
      </c>
      <c r="H275" s="6">
        <v>0.05</v>
      </c>
      <c r="I275" s="5">
        <v>10.3</v>
      </c>
      <c r="J275" s="5">
        <v>6.48</v>
      </c>
      <c r="K275" s="5">
        <v>3.82</v>
      </c>
      <c r="L275" t="s">
        <v>33</v>
      </c>
      <c r="M275" t="s">
        <v>296</v>
      </c>
    </row>
    <row r="276" spans="1:13" x14ac:dyDescent="0.3">
      <c r="A276" t="s">
        <v>329</v>
      </c>
      <c r="B276" s="4">
        <v>45824</v>
      </c>
      <c r="C276" t="s">
        <v>25</v>
      </c>
      <c r="D276" t="s">
        <v>42</v>
      </c>
      <c r="E276" t="s">
        <v>43</v>
      </c>
      <c r="F276">
        <v>1</v>
      </c>
      <c r="G276" s="5">
        <v>62.24</v>
      </c>
      <c r="H276" s="6">
        <v>0</v>
      </c>
      <c r="I276" s="5">
        <v>62.24</v>
      </c>
      <c r="J276" s="5">
        <v>32.979999999999997</v>
      </c>
      <c r="K276" s="5">
        <v>29.26</v>
      </c>
      <c r="L276" t="s">
        <v>37</v>
      </c>
      <c r="M276" t="s">
        <v>296</v>
      </c>
    </row>
    <row r="277" spans="1:13" x14ac:dyDescent="0.3">
      <c r="A277" t="s">
        <v>330</v>
      </c>
      <c r="B277" s="4">
        <v>45825</v>
      </c>
      <c r="C277" t="s">
        <v>39</v>
      </c>
      <c r="D277" t="s">
        <v>26</v>
      </c>
      <c r="E277" t="s">
        <v>65</v>
      </c>
      <c r="F277">
        <v>1</v>
      </c>
      <c r="G277" s="5">
        <v>16.39</v>
      </c>
      <c r="H277" s="6">
        <v>0.05</v>
      </c>
      <c r="I277" s="5">
        <v>15.57</v>
      </c>
      <c r="J277" s="5">
        <v>13.34</v>
      </c>
      <c r="K277" s="5">
        <v>2.23</v>
      </c>
      <c r="L277" t="s">
        <v>28</v>
      </c>
      <c r="M277" t="s">
        <v>296</v>
      </c>
    </row>
    <row r="278" spans="1:13" x14ac:dyDescent="0.3">
      <c r="A278" t="s">
        <v>331</v>
      </c>
      <c r="B278" s="4">
        <v>45825</v>
      </c>
      <c r="C278" t="s">
        <v>51</v>
      </c>
      <c r="D278" t="s">
        <v>26</v>
      </c>
      <c r="E278" t="s">
        <v>27</v>
      </c>
      <c r="F278">
        <v>7</v>
      </c>
      <c r="G278" s="5">
        <v>22.74</v>
      </c>
      <c r="H278" s="6">
        <v>0.05</v>
      </c>
      <c r="I278" s="5">
        <v>151.22</v>
      </c>
      <c r="J278" s="5">
        <v>125.39</v>
      </c>
      <c r="K278" s="5">
        <v>25.83</v>
      </c>
      <c r="L278" t="s">
        <v>28</v>
      </c>
      <c r="M278" t="s">
        <v>296</v>
      </c>
    </row>
    <row r="279" spans="1:13" x14ac:dyDescent="0.3">
      <c r="A279" t="s">
        <v>332</v>
      </c>
      <c r="B279" s="4">
        <v>45826</v>
      </c>
      <c r="C279" t="s">
        <v>39</v>
      </c>
      <c r="D279" t="s">
        <v>26</v>
      </c>
      <c r="E279" t="s">
        <v>27</v>
      </c>
      <c r="F279">
        <v>6</v>
      </c>
      <c r="G279" s="5">
        <v>8.76</v>
      </c>
      <c r="H279" s="6">
        <v>0</v>
      </c>
      <c r="I279" s="5">
        <v>52.56</v>
      </c>
      <c r="J279" s="5">
        <v>37.96</v>
      </c>
      <c r="K279" s="5">
        <v>14.6</v>
      </c>
      <c r="L279" t="s">
        <v>33</v>
      </c>
      <c r="M279" t="s">
        <v>296</v>
      </c>
    </row>
    <row r="280" spans="1:13" x14ac:dyDescent="0.3">
      <c r="A280" t="s">
        <v>333</v>
      </c>
      <c r="B280" s="4">
        <v>45826</v>
      </c>
      <c r="C280" t="s">
        <v>31</v>
      </c>
      <c r="D280" t="s">
        <v>26</v>
      </c>
      <c r="E280" t="s">
        <v>53</v>
      </c>
      <c r="F280">
        <v>4</v>
      </c>
      <c r="G280" s="5">
        <v>24.04</v>
      </c>
      <c r="H280" s="6">
        <v>0</v>
      </c>
      <c r="I280" s="5">
        <v>96.16</v>
      </c>
      <c r="J280" s="5">
        <v>74.989999999999995</v>
      </c>
      <c r="K280" s="5">
        <v>21.17</v>
      </c>
      <c r="L280" t="s">
        <v>37</v>
      </c>
      <c r="M280" t="s">
        <v>296</v>
      </c>
    </row>
    <row r="281" spans="1:13" x14ac:dyDescent="0.3">
      <c r="A281" t="s">
        <v>334</v>
      </c>
      <c r="B281" s="4">
        <v>45826</v>
      </c>
      <c r="C281" t="s">
        <v>25</v>
      </c>
      <c r="D281" t="s">
        <v>26</v>
      </c>
      <c r="E281" t="s">
        <v>68</v>
      </c>
      <c r="F281">
        <v>6</v>
      </c>
      <c r="G281" s="5">
        <v>3.75</v>
      </c>
      <c r="H281" s="6">
        <v>0.05</v>
      </c>
      <c r="I281" s="5">
        <v>21.38</v>
      </c>
      <c r="J281" s="5">
        <v>14.93</v>
      </c>
      <c r="K281" s="5">
        <v>6.45</v>
      </c>
      <c r="L281" t="s">
        <v>33</v>
      </c>
      <c r="M281" t="s">
        <v>296</v>
      </c>
    </row>
    <row r="282" spans="1:13" x14ac:dyDescent="0.3">
      <c r="A282" t="s">
        <v>335</v>
      </c>
      <c r="B282" s="4">
        <v>45827</v>
      </c>
      <c r="C282" t="s">
        <v>31</v>
      </c>
      <c r="D282" t="s">
        <v>26</v>
      </c>
      <c r="E282" t="s">
        <v>53</v>
      </c>
      <c r="F282">
        <v>8</v>
      </c>
      <c r="G282" s="5">
        <v>6.87</v>
      </c>
      <c r="H282" s="6">
        <v>0</v>
      </c>
      <c r="I282" s="5">
        <v>54.96</v>
      </c>
      <c r="J282" s="5">
        <v>34.65</v>
      </c>
      <c r="K282" s="5">
        <v>20.309999999999999</v>
      </c>
      <c r="L282" t="s">
        <v>33</v>
      </c>
      <c r="M282" t="s">
        <v>296</v>
      </c>
    </row>
    <row r="283" spans="1:13" x14ac:dyDescent="0.3">
      <c r="A283" t="s">
        <v>336</v>
      </c>
      <c r="B283" s="4">
        <v>45828</v>
      </c>
      <c r="C283" t="s">
        <v>39</v>
      </c>
      <c r="D283" t="s">
        <v>42</v>
      </c>
      <c r="E283" t="s">
        <v>43</v>
      </c>
      <c r="F283">
        <v>7</v>
      </c>
      <c r="G283" s="5">
        <v>61.64</v>
      </c>
      <c r="H283" s="6">
        <v>0</v>
      </c>
      <c r="I283" s="5">
        <v>431.48</v>
      </c>
      <c r="J283" s="5">
        <v>244.25</v>
      </c>
      <c r="K283" s="5">
        <v>187.23</v>
      </c>
      <c r="L283" t="s">
        <v>33</v>
      </c>
      <c r="M283" t="s">
        <v>296</v>
      </c>
    </row>
    <row r="284" spans="1:13" x14ac:dyDescent="0.3">
      <c r="A284" t="s">
        <v>337</v>
      </c>
      <c r="B284" s="4">
        <v>45828</v>
      </c>
      <c r="C284" t="s">
        <v>25</v>
      </c>
      <c r="D284" t="s">
        <v>35</v>
      </c>
      <c r="E284" t="s">
        <v>40</v>
      </c>
      <c r="F284">
        <v>2</v>
      </c>
      <c r="G284" s="5">
        <v>230.25</v>
      </c>
      <c r="H284" s="6">
        <v>0.05</v>
      </c>
      <c r="I284" s="5">
        <v>437.47</v>
      </c>
      <c r="J284" s="5">
        <v>318.42</v>
      </c>
      <c r="K284" s="5">
        <v>119.05</v>
      </c>
      <c r="L284" t="s">
        <v>28</v>
      </c>
      <c r="M284" t="s">
        <v>296</v>
      </c>
    </row>
    <row r="285" spans="1:13" x14ac:dyDescent="0.3">
      <c r="A285" t="s">
        <v>338</v>
      </c>
      <c r="B285" s="4">
        <v>45828</v>
      </c>
      <c r="C285" t="s">
        <v>25</v>
      </c>
      <c r="D285" t="s">
        <v>26</v>
      </c>
      <c r="E285" t="s">
        <v>53</v>
      </c>
      <c r="F285">
        <v>5</v>
      </c>
      <c r="G285" s="5">
        <v>23.83</v>
      </c>
      <c r="H285" s="6">
        <v>0</v>
      </c>
      <c r="I285" s="5">
        <v>119.15</v>
      </c>
      <c r="J285" s="5">
        <v>62.89</v>
      </c>
      <c r="K285" s="5">
        <v>56.26</v>
      </c>
      <c r="L285" t="s">
        <v>28</v>
      </c>
      <c r="M285" t="s">
        <v>296</v>
      </c>
    </row>
    <row r="286" spans="1:13" x14ac:dyDescent="0.3">
      <c r="A286" t="s">
        <v>339</v>
      </c>
      <c r="B286" s="4">
        <v>45829</v>
      </c>
      <c r="C286" t="s">
        <v>31</v>
      </c>
      <c r="D286" t="s">
        <v>26</v>
      </c>
      <c r="E286" t="s">
        <v>65</v>
      </c>
      <c r="F286">
        <v>1</v>
      </c>
      <c r="G286" s="5">
        <v>12.84</v>
      </c>
      <c r="H286" s="6">
        <v>0</v>
      </c>
      <c r="I286" s="5">
        <v>12.84</v>
      </c>
      <c r="J286" s="5">
        <v>10.42</v>
      </c>
      <c r="K286" s="5">
        <v>2.42</v>
      </c>
      <c r="L286" t="s">
        <v>37</v>
      </c>
      <c r="M286" t="s">
        <v>296</v>
      </c>
    </row>
    <row r="287" spans="1:13" x14ac:dyDescent="0.3">
      <c r="A287" t="s">
        <v>340</v>
      </c>
      <c r="B287" s="4">
        <v>45829</v>
      </c>
      <c r="C287" t="s">
        <v>25</v>
      </c>
      <c r="D287" t="s">
        <v>26</v>
      </c>
      <c r="E287" t="s">
        <v>53</v>
      </c>
      <c r="F287">
        <v>1</v>
      </c>
      <c r="G287" s="5">
        <v>20.12</v>
      </c>
      <c r="H287" s="6">
        <v>0.05</v>
      </c>
      <c r="I287" s="5">
        <v>19.11</v>
      </c>
      <c r="J287" s="5">
        <v>12.76</v>
      </c>
      <c r="K287" s="5">
        <v>6.35</v>
      </c>
      <c r="L287" t="s">
        <v>28</v>
      </c>
      <c r="M287" t="s">
        <v>296</v>
      </c>
    </row>
    <row r="288" spans="1:13" x14ac:dyDescent="0.3">
      <c r="A288" t="s">
        <v>341</v>
      </c>
      <c r="B288" s="4">
        <v>45829</v>
      </c>
      <c r="C288" t="s">
        <v>31</v>
      </c>
      <c r="D288" t="s">
        <v>35</v>
      </c>
      <c r="E288" t="s">
        <v>40</v>
      </c>
      <c r="F288">
        <v>4</v>
      </c>
      <c r="G288" s="5">
        <v>252.97</v>
      </c>
      <c r="H288" s="6">
        <v>0.1</v>
      </c>
      <c r="I288" s="5">
        <v>910.69</v>
      </c>
      <c r="J288" s="5">
        <v>797.77</v>
      </c>
      <c r="K288" s="5">
        <v>112.92</v>
      </c>
      <c r="L288" t="s">
        <v>28</v>
      </c>
      <c r="M288" t="s">
        <v>296</v>
      </c>
    </row>
    <row r="289" spans="1:13" x14ac:dyDescent="0.3">
      <c r="A289" t="s">
        <v>342</v>
      </c>
      <c r="B289" s="4">
        <v>45830</v>
      </c>
      <c r="C289" t="s">
        <v>51</v>
      </c>
      <c r="D289" t="s">
        <v>26</v>
      </c>
      <c r="E289" t="s">
        <v>68</v>
      </c>
      <c r="F289">
        <v>6</v>
      </c>
      <c r="G289" s="5">
        <v>11.5</v>
      </c>
      <c r="H289" s="6">
        <v>0.15</v>
      </c>
      <c r="I289" s="5">
        <v>58.65</v>
      </c>
      <c r="J289" s="5">
        <v>41.62</v>
      </c>
      <c r="K289" s="5">
        <v>17.03</v>
      </c>
      <c r="L289" t="s">
        <v>33</v>
      </c>
      <c r="M289" t="s">
        <v>296</v>
      </c>
    </row>
    <row r="290" spans="1:13" x14ac:dyDescent="0.3">
      <c r="A290" t="s">
        <v>343</v>
      </c>
      <c r="B290" s="4">
        <v>45830</v>
      </c>
      <c r="C290" t="s">
        <v>51</v>
      </c>
      <c r="D290" t="s">
        <v>35</v>
      </c>
      <c r="E290" t="s">
        <v>45</v>
      </c>
      <c r="F290">
        <v>5</v>
      </c>
      <c r="G290" s="5">
        <v>362.53</v>
      </c>
      <c r="H290" s="6">
        <v>0.1</v>
      </c>
      <c r="I290" s="5">
        <v>1631.38</v>
      </c>
      <c r="J290" s="5">
        <v>1157.43</v>
      </c>
      <c r="K290" s="5">
        <v>473.95</v>
      </c>
      <c r="L290" t="s">
        <v>33</v>
      </c>
      <c r="M290" t="s">
        <v>296</v>
      </c>
    </row>
    <row r="291" spans="1:13" x14ac:dyDescent="0.3">
      <c r="A291" t="s">
        <v>344</v>
      </c>
      <c r="B291" s="4">
        <v>45831</v>
      </c>
      <c r="C291" t="s">
        <v>25</v>
      </c>
      <c r="D291" t="s">
        <v>42</v>
      </c>
      <c r="E291" t="s">
        <v>43</v>
      </c>
      <c r="F291">
        <v>1</v>
      </c>
      <c r="G291" s="5">
        <v>98.39</v>
      </c>
      <c r="H291" s="6">
        <v>0</v>
      </c>
      <c r="I291" s="5">
        <v>98.39</v>
      </c>
      <c r="J291" s="5">
        <v>71.98</v>
      </c>
      <c r="K291" s="5">
        <v>26.41</v>
      </c>
      <c r="L291" t="s">
        <v>28</v>
      </c>
      <c r="M291" t="s">
        <v>296</v>
      </c>
    </row>
    <row r="292" spans="1:13" x14ac:dyDescent="0.3">
      <c r="A292" t="s">
        <v>345</v>
      </c>
      <c r="B292" s="4">
        <v>45831</v>
      </c>
      <c r="C292" t="s">
        <v>25</v>
      </c>
      <c r="D292" t="s">
        <v>35</v>
      </c>
      <c r="E292" t="s">
        <v>47</v>
      </c>
      <c r="F292">
        <v>1</v>
      </c>
      <c r="G292" s="5">
        <v>223.44</v>
      </c>
      <c r="H292" s="6">
        <v>0.15</v>
      </c>
      <c r="I292" s="5">
        <v>189.92</v>
      </c>
      <c r="J292" s="5">
        <v>132.33000000000001</v>
      </c>
      <c r="K292" s="5">
        <v>57.59</v>
      </c>
      <c r="L292" t="s">
        <v>33</v>
      </c>
      <c r="M292" t="s">
        <v>296</v>
      </c>
    </row>
    <row r="293" spans="1:13" x14ac:dyDescent="0.3">
      <c r="A293" t="s">
        <v>346</v>
      </c>
      <c r="B293" s="4">
        <v>45834</v>
      </c>
      <c r="C293" t="s">
        <v>25</v>
      </c>
      <c r="D293" t="s">
        <v>26</v>
      </c>
      <c r="E293" t="s">
        <v>27</v>
      </c>
      <c r="F293">
        <v>4</v>
      </c>
      <c r="G293" s="5">
        <v>23.9</v>
      </c>
      <c r="H293" s="6">
        <v>0.2</v>
      </c>
      <c r="I293" s="5">
        <v>76.48</v>
      </c>
      <c r="J293" s="5">
        <v>54.31</v>
      </c>
      <c r="K293" s="5">
        <v>22.17</v>
      </c>
      <c r="L293" t="s">
        <v>37</v>
      </c>
      <c r="M293" t="s">
        <v>296</v>
      </c>
    </row>
    <row r="294" spans="1:13" x14ac:dyDescent="0.3">
      <c r="A294" t="s">
        <v>347</v>
      </c>
      <c r="B294" s="4">
        <v>45835</v>
      </c>
      <c r="C294" t="s">
        <v>39</v>
      </c>
      <c r="D294" t="s">
        <v>26</v>
      </c>
      <c r="E294" t="s">
        <v>32</v>
      </c>
      <c r="F294">
        <v>1</v>
      </c>
      <c r="G294" s="5">
        <v>15.41</v>
      </c>
      <c r="H294" s="6">
        <v>0.1</v>
      </c>
      <c r="I294" s="5">
        <v>13.87</v>
      </c>
      <c r="J294" s="5">
        <v>10.75</v>
      </c>
      <c r="K294" s="5">
        <v>3.12</v>
      </c>
      <c r="L294" t="s">
        <v>33</v>
      </c>
      <c r="M294" t="s">
        <v>296</v>
      </c>
    </row>
    <row r="295" spans="1:13" x14ac:dyDescent="0.3">
      <c r="A295" t="s">
        <v>348</v>
      </c>
      <c r="B295" s="4">
        <v>45836</v>
      </c>
      <c r="C295" t="s">
        <v>51</v>
      </c>
      <c r="D295" t="s">
        <v>26</v>
      </c>
      <c r="E295" t="s">
        <v>27</v>
      </c>
      <c r="F295">
        <v>2</v>
      </c>
      <c r="G295" s="5">
        <v>14.7</v>
      </c>
      <c r="H295" s="6">
        <v>0.1</v>
      </c>
      <c r="I295" s="5">
        <v>26.46</v>
      </c>
      <c r="J295" s="5">
        <v>16.12</v>
      </c>
      <c r="K295" s="5">
        <v>10.34</v>
      </c>
      <c r="L295" t="s">
        <v>37</v>
      </c>
      <c r="M295" t="s">
        <v>296</v>
      </c>
    </row>
    <row r="296" spans="1:13" x14ac:dyDescent="0.3">
      <c r="A296" t="s">
        <v>349</v>
      </c>
      <c r="B296" s="4">
        <v>45837</v>
      </c>
      <c r="C296" t="s">
        <v>39</v>
      </c>
      <c r="D296" t="s">
        <v>26</v>
      </c>
      <c r="E296" t="s">
        <v>32</v>
      </c>
      <c r="F296">
        <v>5</v>
      </c>
      <c r="G296" s="5">
        <v>17.489999999999998</v>
      </c>
      <c r="H296" s="6">
        <v>0.05</v>
      </c>
      <c r="I296" s="5">
        <v>83.08</v>
      </c>
      <c r="J296" s="5">
        <v>69.34</v>
      </c>
      <c r="K296" s="5">
        <v>13.74</v>
      </c>
      <c r="L296" t="s">
        <v>33</v>
      </c>
      <c r="M296" t="s">
        <v>296</v>
      </c>
    </row>
    <row r="297" spans="1:13" x14ac:dyDescent="0.3">
      <c r="A297" t="s">
        <v>350</v>
      </c>
      <c r="B297" s="4">
        <v>45837</v>
      </c>
      <c r="C297" t="s">
        <v>39</v>
      </c>
      <c r="D297" t="s">
        <v>26</v>
      </c>
      <c r="E297" t="s">
        <v>68</v>
      </c>
      <c r="F297">
        <v>7</v>
      </c>
      <c r="G297" s="5">
        <v>11.36</v>
      </c>
      <c r="H297" s="6">
        <v>0.15</v>
      </c>
      <c r="I297" s="5">
        <v>67.59</v>
      </c>
      <c r="J297" s="5">
        <v>55.03</v>
      </c>
      <c r="K297" s="5">
        <v>12.56</v>
      </c>
      <c r="L297" t="s">
        <v>37</v>
      </c>
      <c r="M297" t="s">
        <v>296</v>
      </c>
    </row>
    <row r="298" spans="1:13" x14ac:dyDescent="0.3">
      <c r="A298" t="s">
        <v>351</v>
      </c>
      <c r="B298" s="4">
        <v>45837</v>
      </c>
      <c r="C298" t="s">
        <v>31</v>
      </c>
      <c r="D298" t="s">
        <v>35</v>
      </c>
      <c r="E298" t="s">
        <v>36</v>
      </c>
      <c r="F298">
        <v>3</v>
      </c>
      <c r="G298" s="5">
        <v>69.569999999999993</v>
      </c>
      <c r="H298" s="6">
        <v>0</v>
      </c>
      <c r="I298" s="5">
        <v>208.71</v>
      </c>
      <c r="J298" s="5">
        <v>120.62</v>
      </c>
      <c r="K298" s="5">
        <v>88.09</v>
      </c>
      <c r="L298" t="s">
        <v>37</v>
      </c>
      <c r="M298" t="s">
        <v>296</v>
      </c>
    </row>
    <row r="299" spans="1:13" x14ac:dyDescent="0.3">
      <c r="A299" t="s">
        <v>352</v>
      </c>
      <c r="B299" s="4">
        <v>45838</v>
      </c>
      <c r="C299" t="s">
        <v>39</v>
      </c>
      <c r="D299" t="s">
        <v>42</v>
      </c>
      <c r="E299" t="s">
        <v>62</v>
      </c>
      <c r="F299">
        <v>7</v>
      </c>
      <c r="G299" s="5">
        <v>50.14</v>
      </c>
      <c r="H299" s="6">
        <v>0.15</v>
      </c>
      <c r="I299" s="5">
        <v>298.33</v>
      </c>
      <c r="J299" s="5">
        <v>197.1</v>
      </c>
      <c r="K299" s="5">
        <v>101.23</v>
      </c>
      <c r="L299" t="s">
        <v>37</v>
      </c>
      <c r="M299" t="s">
        <v>296</v>
      </c>
    </row>
    <row r="300" spans="1:13" x14ac:dyDescent="0.3">
      <c r="A300" t="s">
        <v>353</v>
      </c>
      <c r="B300" s="4">
        <v>45838</v>
      </c>
      <c r="C300" t="s">
        <v>51</v>
      </c>
      <c r="D300" t="s">
        <v>26</v>
      </c>
      <c r="E300" t="s">
        <v>65</v>
      </c>
      <c r="F300">
        <v>5</v>
      </c>
      <c r="G300" s="5">
        <v>13.09</v>
      </c>
      <c r="H300" s="6">
        <v>0</v>
      </c>
      <c r="I300" s="5">
        <v>65.45</v>
      </c>
      <c r="J300" s="5">
        <v>44.15</v>
      </c>
      <c r="K300" s="5">
        <v>21.3</v>
      </c>
      <c r="L300" t="s">
        <v>33</v>
      </c>
      <c r="M300" t="s">
        <v>296</v>
      </c>
    </row>
    <row r="301" spans="1:13" x14ac:dyDescent="0.3">
      <c r="A301" t="s">
        <v>354</v>
      </c>
      <c r="B301" s="4">
        <v>45838</v>
      </c>
      <c r="C301" t="s">
        <v>25</v>
      </c>
      <c r="D301" t="s">
        <v>26</v>
      </c>
      <c r="E301" t="s">
        <v>53</v>
      </c>
      <c r="F301">
        <v>2</v>
      </c>
      <c r="G301" s="5">
        <v>14.9</v>
      </c>
      <c r="H301" s="6">
        <v>0.05</v>
      </c>
      <c r="I301" s="5">
        <v>28.31</v>
      </c>
      <c r="J301" s="5">
        <v>17.09</v>
      </c>
      <c r="K301" s="5">
        <v>11.22</v>
      </c>
      <c r="L301" t="s">
        <v>37</v>
      </c>
      <c r="M301" t="s">
        <v>296</v>
      </c>
    </row>
    <row r="302" spans="1:13" x14ac:dyDescent="0.3">
      <c r="A302" t="s">
        <v>355</v>
      </c>
      <c r="B302" s="4">
        <v>45839</v>
      </c>
      <c r="C302" t="s">
        <v>31</v>
      </c>
      <c r="D302" t="s">
        <v>35</v>
      </c>
      <c r="E302" t="s">
        <v>45</v>
      </c>
      <c r="F302">
        <v>3</v>
      </c>
      <c r="G302" s="5">
        <v>432.64</v>
      </c>
      <c r="H302" s="6">
        <v>0</v>
      </c>
      <c r="I302" s="5">
        <v>1297.92</v>
      </c>
      <c r="J302" s="5">
        <v>680.28</v>
      </c>
      <c r="K302" s="5">
        <v>617.64</v>
      </c>
      <c r="L302" t="s">
        <v>37</v>
      </c>
      <c r="M302" t="s">
        <v>356</v>
      </c>
    </row>
    <row r="303" spans="1:13" x14ac:dyDescent="0.3">
      <c r="A303" t="s">
        <v>357</v>
      </c>
      <c r="B303" s="4">
        <v>45839</v>
      </c>
      <c r="C303" t="s">
        <v>25</v>
      </c>
      <c r="D303" t="s">
        <v>26</v>
      </c>
      <c r="E303" t="s">
        <v>65</v>
      </c>
      <c r="F303">
        <v>1</v>
      </c>
      <c r="G303" s="5">
        <v>6.32</v>
      </c>
      <c r="H303" s="6">
        <v>0.1</v>
      </c>
      <c r="I303" s="5">
        <v>5.69</v>
      </c>
      <c r="J303" s="5">
        <v>5.0199999999999996</v>
      </c>
      <c r="K303" s="5">
        <v>0.67</v>
      </c>
      <c r="L303" t="s">
        <v>28</v>
      </c>
      <c r="M303" t="s">
        <v>356</v>
      </c>
    </row>
    <row r="304" spans="1:13" x14ac:dyDescent="0.3">
      <c r="A304" t="s">
        <v>358</v>
      </c>
      <c r="B304" s="4">
        <v>45840</v>
      </c>
      <c r="C304" t="s">
        <v>39</v>
      </c>
      <c r="D304" t="s">
        <v>35</v>
      </c>
      <c r="E304" t="s">
        <v>36</v>
      </c>
      <c r="F304">
        <v>1</v>
      </c>
      <c r="G304" s="5">
        <v>119.69</v>
      </c>
      <c r="H304" s="6">
        <v>0</v>
      </c>
      <c r="I304" s="5">
        <v>119.69</v>
      </c>
      <c r="J304" s="5">
        <v>71.819999999999993</v>
      </c>
      <c r="K304" s="5">
        <v>47.87</v>
      </c>
      <c r="L304" t="s">
        <v>37</v>
      </c>
      <c r="M304" t="s">
        <v>356</v>
      </c>
    </row>
    <row r="305" spans="1:13" x14ac:dyDescent="0.3">
      <c r="A305" t="s">
        <v>359</v>
      </c>
      <c r="B305" s="4">
        <v>45840</v>
      </c>
      <c r="C305" t="s">
        <v>39</v>
      </c>
      <c r="D305" t="s">
        <v>26</v>
      </c>
      <c r="E305" t="s">
        <v>65</v>
      </c>
      <c r="F305">
        <v>6</v>
      </c>
      <c r="G305" s="5">
        <v>5.41</v>
      </c>
      <c r="H305" s="6">
        <v>0</v>
      </c>
      <c r="I305" s="5">
        <v>32.46</v>
      </c>
      <c r="J305" s="5">
        <v>23.57</v>
      </c>
      <c r="K305" s="5">
        <v>8.89</v>
      </c>
      <c r="L305" t="s">
        <v>37</v>
      </c>
      <c r="M305" t="s">
        <v>356</v>
      </c>
    </row>
    <row r="306" spans="1:13" x14ac:dyDescent="0.3">
      <c r="A306" t="s">
        <v>360</v>
      </c>
      <c r="B306" s="4">
        <v>45840</v>
      </c>
      <c r="C306" t="s">
        <v>25</v>
      </c>
      <c r="D306" t="s">
        <v>42</v>
      </c>
      <c r="E306" t="s">
        <v>62</v>
      </c>
      <c r="F306">
        <v>2</v>
      </c>
      <c r="G306" s="5">
        <v>30.6</v>
      </c>
      <c r="H306" s="6">
        <v>0.2</v>
      </c>
      <c r="I306" s="5">
        <v>48.96</v>
      </c>
      <c r="J306" s="5">
        <v>37.049999999999997</v>
      </c>
      <c r="K306" s="5">
        <v>11.91</v>
      </c>
      <c r="L306" t="s">
        <v>28</v>
      </c>
      <c r="M306" t="s">
        <v>356</v>
      </c>
    </row>
    <row r="307" spans="1:13" x14ac:dyDescent="0.3">
      <c r="A307" t="s">
        <v>361</v>
      </c>
      <c r="B307" s="4">
        <v>45840</v>
      </c>
      <c r="C307" t="s">
        <v>31</v>
      </c>
      <c r="D307" t="s">
        <v>26</v>
      </c>
      <c r="E307" t="s">
        <v>53</v>
      </c>
      <c r="F307">
        <v>3</v>
      </c>
      <c r="G307" s="5">
        <v>8.93</v>
      </c>
      <c r="H307" s="6">
        <v>0.05</v>
      </c>
      <c r="I307" s="5">
        <v>25.45</v>
      </c>
      <c r="J307" s="5">
        <v>19.899999999999999</v>
      </c>
      <c r="K307" s="5">
        <v>5.55</v>
      </c>
      <c r="L307" t="s">
        <v>37</v>
      </c>
      <c r="M307" t="s">
        <v>356</v>
      </c>
    </row>
    <row r="308" spans="1:13" x14ac:dyDescent="0.3">
      <c r="A308" t="s">
        <v>362</v>
      </c>
      <c r="B308" s="4">
        <v>45840</v>
      </c>
      <c r="C308" t="s">
        <v>51</v>
      </c>
      <c r="D308" t="s">
        <v>26</v>
      </c>
      <c r="E308" t="s">
        <v>32</v>
      </c>
      <c r="F308">
        <v>4</v>
      </c>
      <c r="G308" s="5">
        <v>12.88</v>
      </c>
      <c r="H308" s="6">
        <v>0.1</v>
      </c>
      <c r="I308" s="5">
        <v>46.37</v>
      </c>
      <c r="J308" s="5">
        <v>31.75</v>
      </c>
      <c r="K308" s="5">
        <v>14.62</v>
      </c>
      <c r="L308" t="s">
        <v>33</v>
      </c>
      <c r="M308" t="s">
        <v>356</v>
      </c>
    </row>
    <row r="309" spans="1:13" x14ac:dyDescent="0.3">
      <c r="A309" t="s">
        <v>363</v>
      </c>
      <c r="B309" s="4">
        <v>45842</v>
      </c>
      <c r="C309" t="s">
        <v>25</v>
      </c>
      <c r="D309" t="s">
        <v>42</v>
      </c>
      <c r="E309" t="s">
        <v>72</v>
      </c>
      <c r="F309">
        <v>4</v>
      </c>
      <c r="G309" s="5">
        <v>772.52</v>
      </c>
      <c r="H309" s="6">
        <v>0.15</v>
      </c>
      <c r="I309" s="5">
        <v>2626.57</v>
      </c>
      <c r="J309" s="5">
        <v>1833.09</v>
      </c>
      <c r="K309" s="5">
        <v>793.48</v>
      </c>
      <c r="L309" t="s">
        <v>28</v>
      </c>
      <c r="M309" t="s">
        <v>356</v>
      </c>
    </row>
    <row r="310" spans="1:13" x14ac:dyDescent="0.3">
      <c r="A310" t="s">
        <v>364</v>
      </c>
      <c r="B310" s="4">
        <v>45842</v>
      </c>
      <c r="C310" t="s">
        <v>31</v>
      </c>
      <c r="D310" t="s">
        <v>35</v>
      </c>
      <c r="E310" t="s">
        <v>45</v>
      </c>
      <c r="F310">
        <v>8</v>
      </c>
      <c r="G310" s="5">
        <v>337.73</v>
      </c>
      <c r="H310" s="6">
        <v>0.05</v>
      </c>
      <c r="I310" s="5">
        <v>2566.75</v>
      </c>
      <c r="J310" s="5">
        <v>2149.92</v>
      </c>
      <c r="K310" s="5">
        <v>416.83</v>
      </c>
      <c r="L310" t="s">
        <v>28</v>
      </c>
      <c r="M310" t="s">
        <v>356</v>
      </c>
    </row>
    <row r="311" spans="1:13" x14ac:dyDescent="0.3">
      <c r="A311" t="s">
        <v>365</v>
      </c>
      <c r="B311" s="4">
        <v>45842</v>
      </c>
      <c r="C311" t="s">
        <v>39</v>
      </c>
      <c r="D311" t="s">
        <v>26</v>
      </c>
      <c r="E311" t="s">
        <v>53</v>
      </c>
      <c r="F311">
        <v>8</v>
      </c>
      <c r="G311" s="5">
        <v>10.33</v>
      </c>
      <c r="H311" s="6">
        <v>0.1</v>
      </c>
      <c r="I311" s="5">
        <v>74.38</v>
      </c>
      <c r="J311" s="5">
        <v>51.32</v>
      </c>
      <c r="K311" s="5">
        <v>23.06</v>
      </c>
      <c r="L311" t="s">
        <v>28</v>
      </c>
      <c r="M311" t="s">
        <v>356</v>
      </c>
    </row>
    <row r="312" spans="1:13" x14ac:dyDescent="0.3">
      <c r="A312" t="s">
        <v>366</v>
      </c>
      <c r="B312" s="4">
        <v>45842</v>
      </c>
      <c r="C312" t="s">
        <v>31</v>
      </c>
      <c r="D312" t="s">
        <v>42</v>
      </c>
      <c r="E312" t="s">
        <v>62</v>
      </c>
      <c r="F312">
        <v>2</v>
      </c>
      <c r="G312" s="5">
        <v>92.31</v>
      </c>
      <c r="H312" s="6">
        <v>0.05</v>
      </c>
      <c r="I312" s="5">
        <v>175.39</v>
      </c>
      <c r="J312" s="5">
        <v>104.31</v>
      </c>
      <c r="K312" s="5">
        <v>71.08</v>
      </c>
      <c r="L312" t="s">
        <v>33</v>
      </c>
      <c r="M312" t="s">
        <v>356</v>
      </c>
    </row>
    <row r="313" spans="1:13" x14ac:dyDescent="0.3">
      <c r="A313" t="s">
        <v>367</v>
      </c>
      <c r="B313" s="4">
        <v>45843</v>
      </c>
      <c r="C313" t="s">
        <v>25</v>
      </c>
      <c r="D313" t="s">
        <v>42</v>
      </c>
      <c r="E313" t="s">
        <v>62</v>
      </c>
      <c r="F313">
        <v>2</v>
      </c>
      <c r="G313" s="5">
        <v>94.54</v>
      </c>
      <c r="H313" s="6">
        <v>0.1</v>
      </c>
      <c r="I313" s="5">
        <v>170.17</v>
      </c>
      <c r="J313" s="5">
        <v>150.66</v>
      </c>
      <c r="K313" s="5">
        <v>19.510000000000002</v>
      </c>
      <c r="L313" t="s">
        <v>33</v>
      </c>
      <c r="M313" t="s">
        <v>356</v>
      </c>
    </row>
    <row r="314" spans="1:13" x14ac:dyDescent="0.3">
      <c r="A314" t="s">
        <v>368</v>
      </c>
      <c r="B314" s="4">
        <v>45845</v>
      </c>
      <c r="C314" t="s">
        <v>51</v>
      </c>
      <c r="D314" t="s">
        <v>35</v>
      </c>
      <c r="E314" t="s">
        <v>47</v>
      </c>
      <c r="F314">
        <v>7</v>
      </c>
      <c r="G314" s="5">
        <v>330.48</v>
      </c>
      <c r="H314" s="6">
        <v>0</v>
      </c>
      <c r="I314" s="5">
        <v>2313.36</v>
      </c>
      <c r="J314" s="5">
        <v>1332.49</v>
      </c>
      <c r="K314" s="5">
        <v>980.87</v>
      </c>
      <c r="L314" t="s">
        <v>37</v>
      </c>
      <c r="M314" t="s">
        <v>356</v>
      </c>
    </row>
    <row r="315" spans="1:13" x14ac:dyDescent="0.3">
      <c r="A315" t="s">
        <v>369</v>
      </c>
      <c r="B315" s="4">
        <v>45845</v>
      </c>
      <c r="C315" t="s">
        <v>31</v>
      </c>
      <c r="D315" t="s">
        <v>26</v>
      </c>
      <c r="E315" t="s">
        <v>65</v>
      </c>
      <c r="F315">
        <v>4</v>
      </c>
      <c r="G315" s="5">
        <v>12.94</v>
      </c>
      <c r="H315" s="6">
        <v>0</v>
      </c>
      <c r="I315" s="5">
        <v>51.76</v>
      </c>
      <c r="J315" s="5">
        <v>31.9</v>
      </c>
      <c r="K315" s="5">
        <v>19.86</v>
      </c>
      <c r="L315" t="s">
        <v>28</v>
      </c>
      <c r="M315" t="s">
        <v>356</v>
      </c>
    </row>
    <row r="316" spans="1:13" x14ac:dyDescent="0.3">
      <c r="A316" t="s">
        <v>370</v>
      </c>
      <c r="B316" s="4">
        <v>45846</v>
      </c>
      <c r="C316" t="s">
        <v>25</v>
      </c>
      <c r="D316" t="s">
        <v>35</v>
      </c>
      <c r="E316" t="s">
        <v>45</v>
      </c>
      <c r="F316">
        <v>2</v>
      </c>
      <c r="G316" s="5">
        <v>181.72</v>
      </c>
      <c r="H316" s="6">
        <v>0.05</v>
      </c>
      <c r="I316" s="5">
        <v>345.27</v>
      </c>
      <c r="J316" s="5">
        <v>251.77</v>
      </c>
      <c r="K316" s="5">
        <v>93.5</v>
      </c>
      <c r="L316" t="s">
        <v>33</v>
      </c>
      <c r="M316" t="s">
        <v>356</v>
      </c>
    </row>
    <row r="317" spans="1:13" x14ac:dyDescent="0.3">
      <c r="A317" t="s">
        <v>371</v>
      </c>
      <c r="B317" s="4">
        <v>45847</v>
      </c>
      <c r="C317" t="s">
        <v>25</v>
      </c>
      <c r="D317" t="s">
        <v>35</v>
      </c>
      <c r="E317" t="s">
        <v>36</v>
      </c>
      <c r="F317">
        <v>7</v>
      </c>
      <c r="G317" s="5">
        <v>99.79</v>
      </c>
      <c r="H317" s="6">
        <v>0.1</v>
      </c>
      <c r="I317" s="5">
        <v>628.67999999999995</v>
      </c>
      <c r="J317" s="5">
        <v>411.97</v>
      </c>
      <c r="K317" s="5">
        <v>216.71</v>
      </c>
      <c r="L317" t="s">
        <v>28</v>
      </c>
      <c r="M317" t="s">
        <v>356</v>
      </c>
    </row>
    <row r="318" spans="1:13" x14ac:dyDescent="0.3">
      <c r="A318" t="s">
        <v>372</v>
      </c>
      <c r="B318" s="4">
        <v>45848</v>
      </c>
      <c r="C318" t="s">
        <v>25</v>
      </c>
      <c r="D318" t="s">
        <v>26</v>
      </c>
      <c r="E318" t="s">
        <v>65</v>
      </c>
      <c r="F318">
        <v>8</v>
      </c>
      <c r="G318" s="5">
        <v>13.73</v>
      </c>
      <c r="H318" s="6">
        <v>0.1</v>
      </c>
      <c r="I318" s="5">
        <v>98.86</v>
      </c>
      <c r="J318" s="5">
        <v>78.180000000000007</v>
      </c>
      <c r="K318" s="5">
        <v>20.68</v>
      </c>
      <c r="L318" t="s">
        <v>33</v>
      </c>
      <c r="M318" t="s">
        <v>356</v>
      </c>
    </row>
    <row r="319" spans="1:13" x14ac:dyDescent="0.3">
      <c r="A319" t="s">
        <v>373</v>
      </c>
      <c r="B319" s="4">
        <v>45848</v>
      </c>
      <c r="C319" t="s">
        <v>25</v>
      </c>
      <c r="D319" t="s">
        <v>26</v>
      </c>
      <c r="E319" t="s">
        <v>32</v>
      </c>
      <c r="F319">
        <v>3</v>
      </c>
      <c r="G319" s="5">
        <v>3.19</v>
      </c>
      <c r="H319" s="6">
        <v>0</v>
      </c>
      <c r="I319" s="5">
        <v>9.57</v>
      </c>
      <c r="J319" s="5">
        <v>5.93</v>
      </c>
      <c r="K319" s="5">
        <v>3.64</v>
      </c>
      <c r="L319" t="s">
        <v>33</v>
      </c>
      <c r="M319" t="s">
        <v>356</v>
      </c>
    </row>
    <row r="320" spans="1:13" x14ac:dyDescent="0.3">
      <c r="A320" t="s">
        <v>374</v>
      </c>
      <c r="B320" s="4">
        <v>45849</v>
      </c>
      <c r="C320" t="s">
        <v>31</v>
      </c>
      <c r="D320" t="s">
        <v>35</v>
      </c>
      <c r="E320" t="s">
        <v>47</v>
      </c>
      <c r="F320">
        <v>4</v>
      </c>
      <c r="G320" s="5">
        <v>212.89</v>
      </c>
      <c r="H320" s="6">
        <v>0</v>
      </c>
      <c r="I320" s="5">
        <v>851.56</v>
      </c>
      <c r="J320" s="5">
        <v>446.79</v>
      </c>
      <c r="K320" s="5">
        <v>404.77</v>
      </c>
      <c r="L320" t="s">
        <v>33</v>
      </c>
      <c r="M320" t="s">
        <v>356</v>
      </c>
    </row>
    <row r="321" spans="1:13" x14ac:dyDescent="0.3">
      <c r="A321" t="s">
        <v>375</v>
      </c>
      <c r="B321" s="4">
        <v>45850</v>
      </c>
      <c r="C321" t="s">
        <v>39</v>
      </c>
      <c r="D321" t="s">
        <v>26</v>
      </c>
      <c r="E321" t="s">
        <v>32</v>
      </c>
      <c r="F321">
        <v>3</v>
      </c>
      <c r="G321" s="5">
        <v>12.16</v>
      </c>
      <c r="H321" s="6">
        <v>0</v>
      </c>
      <c r="I321" s="5">
        <v>36.479999999999997</v>
      </c>
      <c r="J321" s="5">
        <v>28.69</v>
      </c>
      <c r="K321" s="5">
        <v>7.79</v>
      </c>
      <c r="L321" t="s">
        <v>28</v>
      </c>
      <c r="M321" t="s">
        <v>356</v>
      </c>
    </row>
    <row r="322" spans="1:13" x14ac:dyDescent="0.3">
      <c r="A322" t="s">
        <v>376</v>
      </c>
      <c r="B322" s="4">
        <v>45851</v>
      </c>
      <c r="C322" t="s">
        <v>39</v>
      </c>
      <c r="D322" t="s">
        <v>26</v>
      </c>
      <c r="E322" t="s">
        <v>27</v>
      </c>
      <c r="F322">
        <v>2</v>
      </c>
      <c r="G322" s="5">
        <v>5.71</v>
      </c>
      <c r="H322" s="6">
        <v>0.1</v>
      </c>
      <c r="I322" s="5">
        <v>10.28</v>
      </c>
      <c r="J322" s="5">
        <v>9.11</v>
      </c>
      <c r="K322" s="5">
        <v>1.17</v>
      </c>
      <c r="L322" t="s">
        <v>33</v>
      </c>
      <c r="M322" t="s">
        <v>356</v>
      </c>
    </row>
    <row r="323" spans="1:13" x14ac:dyDescent="0.3">
      <c r="A323" t="s">
        <v>377</v>
      </c>
      <c r="B323" s="4">
        <v>45851</v>
      </c>
      <c r="C323" t="s">
        <v>31</v>
      </c>
      <c r="D323" t="s">
        <v>42</v>
      </c>
      <c r="E323" t="s">
        <v>62</v>
      </c>
      <c r="F323">
        <v>8</v>
      </c>
      <c r="G323" s="5">
        <v>94.57</v>
      </c>
      <c r="H323" s="6">
        <v>0.1</v>
      </c>
      <c r="I323" s="5">
        <v>680.9</v>
      </c>
      <c r="J323" s="5">
        <v>493.76</v>
      </c>
      <c r="K323" s="5">
        <v>187.14</v>
      </c>
      <c r="L323" t="s">
        <v>37</v>
      </c>
      <c r="M323" t="s">
        <v>356</v>
      </c>
    </row>
    <row r="324" spans="1:13" x14ac:dyDescent="0.3">
      <c r="A324" t="s">
        <v>378</v>
      </c>
      <c r="B324" s="4">
        <v>45852</v>
      </c>
      <c r="C324" t="s">
        <v>31</v>
      </c>
      <c r="D324" t="s">
        <v>35</v>
      </c>
      <c r="E324" t="s">
        <v>47</v>
      </c>
      <c r="F324">
        <v>3</v>
      </c>
      <c r="G324" s="5">
        <v>287.55</v>
      </c>
      <c r="H324" s="6">
        <v>0.05</v>
      </c>
      <c r="I324" s="5">
        <v>819.52</v>
      </c>
      <c r="J324" s="5">
        <v>515.79999999999995</v>
      </c>
      <c r="K324" s="5">
        <v>303.72000000000003</v>
      </c>
      <c r="L324" t="s">
        <v>37</v>
      </c>
      <c r="M324" t="s">
        <v>356</v>
      </c>
    </row>
    <row r="325" spans="1:13" x14ac:dyDescent="0.3">
      <c r="A325" t="s">
        <v>379</v>
      </c>
      <c r="B325" s="4">
        <v>45853</v>
      </c>
      <c r="C325" t="s">
        <v>25</v>
      </c>
      <c r="D325" t="s">
        <v>42</v>
      </c>
      <c r="E325" t="s">
        <v>72</v>
      </c>
      <c r="F325">
        <v>6</v>
      </c>
      <c r="G325" s="5">
        <v>836.2</v>
      </c>
      <c r="H325" s="6">
        <v>0.15</v>
      </c>
      <c r="I325" s="5">
        <v>4264.62</v>
      </c>
      <c r="J325" s="5">
        <v>3258.21</v>
      </c>
      <c r="K325" s="5">
        <v>1006.41</v>
      </c>
      <c r="L325" t="s">
        <v>33</v>
      </c>
      <c r="M325" t="s">
        <v>356</v>
      </c>
    </row>
    <row r="326" spans="1:13" x14ac:dyDescent="0.3">
      <c r="A326" t="s">
        <v>380</v>
      </c>
      <c r="B326" s="4">
        <v>45855</v>
      </c>
      <c r="C326" t="s">
        <v>31</v>
      </c>
      <c r="D326" t="s">
        <v>42</v>
      </c>
      <c r="E326" t="s">
        <v>43</v>
      </c>
      <c r="F326">
        <v>5</v>
      </c>
      <c r="G326" s="5">
        <v>57.82</v>
      </c>
      <c r="H326" s="6">
        <v>0.15</v>
      </c>
      <c r="I326" s="5">
        <v>245.74</v>
      </c>
      <c r="J326" s="5">
        <v>193.58</v>
      </c>
      <c r="K326" s="5">
        <v>52.16</v>
      </c>
      <c r="L326" t="s">
        <v>28</v>
      </c>
      <c r="M326" t="s">
        <v>356</v>
      </c>
    </row>
    <row r="327" spans="1:13" x14ac:dyDescent="0.3">
      <c r="A327" t="s">
        <v>381</v>
      </c>
      <c r="B327" s="4">
        <v>45855</v>
      </c>
      <c r="C327" t="s">
        <v>25</v>
      </c>
      <c r="D327" t="s">
        <v>42</v>
      </c>
      <c r="E327" t="s">
        <v>59</v>
      </c>
      <c r="F327">
        <v>3</v>
      </c>
      <c r="G327" s="5">
        <v>246.26</v>
      </c>
      <c r="H327" s="6">
        <v>0.15</v>
      </c>
      <c r="I327" s="5">
        <v>627.96</v>
      </c>
      <c r="J327" s="5">
        <v>532.32000000000005</v>
      </c>
      <c r="K327" s="5">
        <v>95.64</v>
      </c>
      <c r="L327" t="s">
        <v>37</v>
      </c>
      <c r="M327" t="s">
        <v>356</v>
      </c>
    </row>
    <row r="328" spans="1:13" x14ac:dyDescent="0.3">
      <c r="A328" t="s">
        <v>382</v>
      </c>
      <c r="B328" s="4">
        <v>45856</v>
      </c>
      <c r="C328" t="s">
        <v>51</v>
      </c>
      <c r="D328" t="s">
        <v>26</v>
      </c>
      <c r="E328" t="s">
        <v>53</v>
      </c>
      <c r="F328">
        <v>6</v>
      </c>
      <c r="G328" s="5">
        <v>24.91</v>
      </c>
      <c r="H328" s="6">
        <v>0</v>
      </c>
      <c r="I328" s="5">
        <v>149.46</v>
      </c>
      <c r="J328" s="5">
        <v>102.72</v>
      </c>
      <c r="K328" s="5">
        <v>46.74</v>
      </c>
      <c r="L328" t="s">
        <v>37</v>
      </c>
      <c r="M328" t="s">
        <v>356</v>
      </c>
    </row>
    <row r="329" spans="1:13" x14ac:dyDescent="0.3">
      <c r="A329" t="s">
        <v>383</v>
      </c>
      <c r="B329" s="4">
        <v>45856</v>
      </c>
      <c r="C329" t="s">
        <v>25</v>
      </c>
      <c r="D329" t="s">
        <v>26</v>
      </c>
      <c r="E329" t="s">
        <v>27</v>
      </c>
      <c r="F329">
        <v>6</v>
      </c>
      <c r="G329" s="5">
        <v>27.81</v>
      </c>
      <c r="H329" s="6">
        <v>0</v>
      </c>
      <c r="I329" s="5">
        <v>166.86</v>
      </c>
      <c r="J329" s="5">
        <v>132.49</v>
      </c>
      <c r="K329" s="5">
        <v>34.369999999999997</v>
      </c>
      <c r="L329" t="s">
        <v>28</v>
      </c>
      <c r="M329" t="s">
        <v>356</v>
      </c>
    </row>
    <row r="330" spans="1:13" x14ac:dyDescent="0.3">
      <c r="A330" t="s">
        <v>384</v>
      </c>
      <c r="B330" s="4">
        <v>45857</v>
      </c>
      <c r="C330" t="s">
        <v>25</v>
      </c>
      <c r="D330" t="s">
        <v>26</v>
      </c>
      <c r="E330" t="s">
        <v>65</v>
      </c>
      <c r="F330">
        <v>3</v>
      </c>
      <c r="G330" s="5">
        <v>12.61</v>
      </c>
      <c r="H330" s="6">
        <v>0</v>
      </c>
      <c r="I330" s="5">
        <v>37.83</v>
      </c>
      <c r="J330" s="5">
        <v>21.49</v>
      </c>
      <c r="K330" s="5">
        <v>16.34</v>
      </c>
      <c r="L330" t="s">
        <v>37</v>
      </c>
      <c r="M330" t="s">
        <v>356</v>
      </c>
    </row>
    <row r="331" spans="1:13" x14ac:dyDescent="0.3">
      <c r="A331" t="s">
        <v>385</v>
      </c>
      <c r="B331" s="4">
        <v>45857</v>
      </c>
      <c r="C331" t="s">
        <v>25</v>
      </c>
      <c r="D331" t="s">
        <v>42</v>
      </c>
      <c r="E331" t="s">
        <v>97</v>
      </c>
      <c r="F331">
        <v>6</v>
      </c>
      <c r="G331" s="5">
        <v>24.33</v>
      </c>
      <c r="H331" s="6">
        <v>0.1</v>
      </c>
      <c r="I331" s="5">
        <v>131.38</v>
      </c>
      <c r="J331" s="5">
        <v>87.08</v>
      </c>
      <c r="K331" s="5">
        <v>44.3</v>
      </c>
      <c r="L331" t="s">
        <v>37</v>
      </c>
      <c r="M331" t="s">
        <v>356</v>
      </c>
    </row>
    <row r="332" spans="1:13" x14ac:dyDescent="0.3">
      <c r="A332" t="s">
        <v>386</v>
      </c>
      <c r="B332" s="4">
        <v>45857</v>
      </c>
      <c r="C332" t="s">
        <v>39</v>
      </c>
      <c r="D332" t="s">
        <v>26</v>
      </c>
      <c r="E332" t="s">
        <v>53</v>
      </c>
      <c r="F332">
        <v>6</v>
      </c>
      <c r="G332" s="5">
        <v>5.41</v>
      </c>
      <c r="H332" s="6">
        <v>0</v>
      </c>
      <c r="I332" s="5">
        <v>32.46</v>
      </c>
      <c r="J332" s="5">
        <v>23.25</v>
      </c>
      <c r="K332" s="5">
        <v>9.2100000000000009</v>
      </c>
      <c r="L332" t="s">
        <v>28</v>
      </c>
      <c r="M332" t="s">
        <v>356</v>
      </c>
    </row>
    <row r="333" spans="1:13" x14ac:dyDescent="0.3">
      <c r="A333" t="s">
        <v>387</v>
      </c>
      <c r="B333" s="4">
        <v>45857</v>
      </c>
      <c r="C333" t="s">
        <v>39</v>
      </c>
      <c r="D333" t="s">
        <v>26</v>
      </c>
      <c r="E333" t="s">
        <v>27</v>
      </c>
      <c r="F333">
        <v>7</v>
      </c>
      <c r="G333" s="5">
        <v>28.72</v>
      </c>
      <c r="H333" s="6">
        <v>0</v>
      </c>
      <c r="I333" s="5">
        <v>201.04</v>
      </c>
      <c r="J333" s="5">
        <v>110</v>
      </c>
      <c r="K333" s="5">
        <v>91.04</v>
      </c>
      <c r="L333" t="s">
        <v>37</v>
      </c>
      <c r="M333" t="s">
        <v>356</v>
      </c>
    </row>
    <row r="334" spans="1:13" x14ac:dyDescent="0.3">
      <c r="A334" t="s">
        <v>388</v>
      </c>
      <c r="B334" s="4">
        <v>45860</v>
      </c>
      <c r="C334" t="s">
        <v>51</v>
      </c>
      <c r="D334" t="s">
        <v>42</v>
      </c>
      <c r="E334" t="s">
        <v>72</v>
      </c>
      <c r="F334">
        <v>8</v>
      </c>
      <c r="G334" s="5">
        <v>680.75</v>
      </c>
      <c r="H334" s="6">
        <v>0</v>
      </c>
      <c r="I334" s="5">
        <v>5446</v>
      </c>
      <c r="J334" s="5">
        <v>3957.45</v>
      </c>
      <c r="K334" s="5">
        <v>1488.55</v>
      </c>
      <c r="L334" t="s">
        <v>33</v>
      </c>
      <c r="M334" t="s">
        <v>356</v>
      </c>
    </row>
    <row r="335" spans="1:13" x14ac:dyDescent="0.3">
      <c r="A335" t="s">
        <v>389</v>
      </c>
      <c r="B335" s="4">
        <v>45860</v>
      </c>
      <c r="C335" t="s">
        <v>51</v>
      </c>
      <c r="D335" t="s">
        <v>35</v>
      </c>
      <c r="E335" t="s">
        <v>36</v>
      </c>
      <c r="F335">
        <v>2</v>
      </c>
      <c r="G335" s="5">
        <v>211</v>
      </c>
      <c r="H335" s="6">
        <v>0.15</v>
      </c>
      <c r="I335" s="5">
        <v>358.7</v>
      </c>
      <c r="J335" s="5">
        <v>255.44</v>
      </c>
      <c r="K335" s="5">
        <v>103.26</v>
      </c>
      <c r="L335" t="s">
        <v>28</v>
      </c>
      <c r="M335" t="s">
        <v>356</v>
      </c>
    </row>
    <row r="336" spans="1:13" x14ac:dyDescent="0.3">
      <c r="A336" t="s">
        <v>390</v>
      </c>
      <c r="B336" s="4">
        <v>45860</v>
      </c>
      <c r="C336" t="s">
        <v>25</v>
      </c>
      <c r="D336" t="s">
        <v>26</v>
      </c>
      <c r="E336" t="s">
        <v>27</v>
      </c>
      <c r="F336">
        <v>4</v>
      </c>
      <c r="G336" s="5">
        <v>29.67</v>
      </c>
      <c r="H336" s="6">
        <v>0</v>
      </c>
      <c r="I336" s="5">
        <v>118.68</v>
      </c>
      <c r="J336" s="5">
        <v>76.400000000000006</v>
      </c>
      <c r="K336" s="5">
        <v>42.28</v>
      </c>
      <c r="L336" t="s">
        <v>37</v>
      </c>
      <c r="M336" t="s">
        <v>356</v>
      </c>
    </row>
    <row r="337" spans="1:13" x14ac:dyDescent="0.3">
      <c r="A337" t="s">
        <v>391</v>
      </c>
      <c r="B337" s="4">
        <v>45860</v>
      </c>
      <c r="C337" t="s">
        <v>31</v>
      </c>
      <c r="D337" t="s">
        <v>42</v>
      </c>
      <c r="E337" t="s">
        <v>43</v>
      </c>
      <c r="F337">
        <v>3</v>
      </c>
      <c r="G337" s="5">
        <v>55.17</v>
      </c>
      <c r="H337" s="6">
        <v>0</v>
      </c>
      <c r="I337" s="5">
        <v>165.51</v>
      </c>
      <c r="J337" s="5">
        <v>108.17</v>
      </c>
      <c r="K337" s="5">
        <v>57.34</v>
      </c>
      <c r="L337" t="s">
        <v>28</v>
      </c>
      <c r="M337" t="s">
        <v>356</v>
      </c>
    </row>
    <row r="338" spans="1:13" x14ac:dyDescent="0.3">
      <c r="A338" t="s">
        <v>392</v>
      </c>
      <c r="B338" s="4">
        <v>45860</v>
      </c>
      <c r="C338" t="s">
        <v>39</v>
      </c>
      <c r="D338" t="s">
        <v>26</v>
      </c>
      <c r="E338" t="s">
        <v>65</v>
      </c>
      <c r="F338">
        <v>5</v>
      </c>
      <c r="G338" s="5">
        <v>11.03</v>
      </c>
      <c r="H338" s="6">
        <v>0.2</v>
      </c>
      <c r="I338" s="5">
        <v>44.12</v>
      </c>
      <c r="J338" s="5">
        <v>37.83</v>
      </c>
      <c r="K338" s="5">
        <v>6.29</v>
      </c>
      <c r="L338" t="s">
        <v>33</v>
      </c>
      <c r="M338" t="s">
        <v>356</v>
      </c>
    </row>
    <row r="339" spans="1:13" x14ac:dyDescent="0.3">
      <c r="A339" t="s">
        <v>393</v>
      </c>
      <c r="B339" s="4">
        <v>45860</v>
      </c>
      <c r="C339" t="s">
        <v>25</v>
      </c>
      <c r="D339" t="s">
        <v>26</v>
      </c>
      <c r="E339" t="s">
        <v>65</v>
      </c>
      <c r="F339">
        <v>5</v>
      </c>
      <c r="G339" s="5">
        <v>5.61</v>
      </c>
      <c r="H339" s="6">
        <v>0.1</v>
      </c>
      <c r="I339" s="5">
        <v>25.25</v>
      </c>
      <c r="J339" s="5">
        <v>16.989999999999998</v>
      </c>
      <c r="K339" s="5">
        <v>8.26</v>
      </c>
      <c r="L339" t="s">
        <v>33</v>
      </c>
      <c r="M339" t="s">
        <v>356</v>
      </c>
    </row>
    <row r="340" spans="1:13" x14ac:dyDescent="0.3">
      <c r="A340" t="s">
        <v>394</v>
      </c>
      <c r="B340" s="4">
        <v>45861</v>
      </c>
      <c r="C340" t="s">
        <v>51</v>
      </c>
      <c r="D340" t="s">
        <v>26</v>
      </c>
      <c r="E340" t="s">
        <v>53</v>
      </c>
      <c r="F340">
        <v>4</v>
      </c>
      <c r="G340" s="5">
        <v>20.86</v>
      </c>
      <c r="H340" s="6">
        <v>0.15</v>
      </c>
      <c r="I340" s="5">
        <v>70.92</v>
      </c>
      <c r="J340" s="5">
        <v>43.66</v>
      </c>
      <c r="K340" s="5">
        <v>27.26</v>
      </c>
      <c r="L340" t="s">
        <v>28</v>
      </c>
      <c r="M340" t="s">
        <v>356</v>
      </c>
    </row>
    <row r="341" spans="1:13" x14ac:dyDescent="0.3">
      <c r="A341" t="s">
        <v>395</v>
      </c>
      <c r="B341" s="4">
        <v>45862</v>
      </c>
      <c r="C341" t="s">
        <v>39</v>
      </c>
      <c r="D341" t="s">
        <v>35</v>
      </c>
      <c r="E341" t="s">
        <v>36</v>
      </c>
      <c r="F341">
        <v>3</v>
      </c>
      <c r="G341" s="5">
        <v>175.96</v>
      </c>
      <c r="H341" s="6">
        <v>0.1</v>
      </c>
      <c r="I341" s="5">
        <v>475.09</v>
      </c>
      <c r="J341" s="5">
        <v>295.89</v>
      </c>
      <c r="K341" s="5">
        <v>179.2</v>
      </c>
      <c r="L341" t="s">
        <v>37</v>
      </c>
      <c r="M341" t="s">
        <v>356</v>
      </c>
    </row>
    <row r="342" spans="1:13" x14ac:dyDescent="0.3">
      <c r="A342" t="s">
        <v>396</v>
      </c>
      <c r="B342" s="4">
        <v>45864</v>
      </c>
      <c r="C342" t="s">
        <v>25</v>
      </c>
      <c r="D342" t="s">
        <v>42</v>
      </c>
      <c r="E342" t="s">
        <v>72</v>
      </c>
      <c r="F342">
        <v>4</v>
      </c>
      <c r="G342" s="5">
        <v>677.22</v>
      </c>
      <c r="H342" s="6">
        <v>0.05</v>
      </c>
      <c r="I342" s="5">
        <v>2573.44</v>
      </c>
      <c r="J342" s="5">
        <v>1600.4</v>
      </c>
      <c r="K342" s="5">
        <v>973.04</v>
      </c>
      <c r="L342" t="s">
        <v>37</v>
      </c>
      <c r="M342" t="s">
        <v>356</v>
      </c>
    </row>
    <row r="343" spans="1:13" x14ac:dyDescent="0.3">
      <c r="A343" t="s">
        <v>397</v>
      </c>
      <c r="B343" s="4">
        <v>45864</v>
      </c>
      <c r="C343" t="s">
        <v>25</v>
      </c>
      <c r="D343" t="s">
        <v>35</v>
      </c>
      <c r="E343" t="s">
        <v>47</v>
      </c>
      <c r="F343">
        <v>7</v>
      </c>
      <c r="G343" s="5">
        <v>185.66</v>
      </c>
      <c r="H343" s="6">
        <v>0.1</v>
      </c>
      <c r="I343" s="5">
        <v>1169.6600000000001</v>
      </c>
      <c r="J343" s="5">
        <v>1009.7</v>
      </c>
      <c r="K343" s="5">
        <v>159.96</v>
      </c>
      <c r="L343" t="s">
        <v>33</v>
      </c>
      <c r="M343" t="s">
        <v>356</v>
      </c>
    </row>
    <row r="344" spans="1:13" x14ac:dyDescent="0.3">
      <c r="A344" t="s">
        <v>398</v>
      </c>
      <c r="B344" s="4">
        <v>45864</v>
      </c>
      <c r="C344" t="s">
        <v>31</v>
      </c>
      <c r="D344" t="s">
        <v>42</v>
      </c>
      <c r="E344" t="s">
        <v>59</v>
      </c>
      <c r="F344">
        <v>2</v>
      </c>
      <c r="G344" s="5">
        <v>153.63</v>
      </c>
      <c r="H344" s="6">
        <v>0</v>
      </c>
      <c r="I344" s="5">
        <v>307.26</v>
      </c>
      <c r="J344" s="5">
        <v>251.02</v>
      </c>
      <c r="K344" s="5">
        <v>56.24</v>
      </c>
      <c r="L344" t="s">
        <v>28</v>
      </c>
      <c r="M344" t="s">
        <v>356</v>
      </c>
    </row>
    <row r="345" spans="1:13" x14ac:dyDescent="0.3">
      <c r="A345" t="s">
        <v>399</v>
      </c>
      <c r="B345" s="4">
        <v>45865</v>
      </c>
      <c r="C345" t="s">
        <v>39</v>
      </c>
      <c r="D345" t="s">
        <v>42</v>
      </c>
      <c r="E345" t="s">
        <v>97</v>
      </c>
      <c r="F345">
        <v>3</v>
      </c>
      <c r="G345" s="5">
        <v>59.78</v>
      </c>
      <c r="H345" s="6">
        <v>0</v>
      </c>
      <c r="I345" s="5">
        <v>179.34</v>
      </c>
      <c r="J345" s="5">
        <v>105.1</v>
      </c>
      <c r="K345" s="5">
        <v>74.239999999999995</v>
      </c>
      <c r="L345" t="s">
        <v>37</v>
      </c>
      <c r="M345" t="s">
        <v>356</v>
      </c>
    </row>
    <row r="346" spans="1:13" x14ac:dyDescent="0.3">
      <c r="A346" t="s">
        <v>400</v>
      </c>
      <c r="B346" s="4">
        <v>45865</v>
      </c>
      <c r="C346" t="s">
        <v>39</v>
      </c>
      <c r="D346" t="s">
        <v>35</v>
      </c>
      <c r="E346" t="s">
        <v>103</v>
      </c>
      <c r="F346">
        <v>2</v>
      </c>
      <c r="G346" s="5">
        <v>234.43</v>
      </c>
      <c r="H346" s="6">
        <v>0.1</v>
      </c>
      <c r="I346" s="5">
        <v>421.97</v>
      </c>
      <c r="J346" s="5">
        <v>340.95</v>
      </c>
      <c r="K346" s="5">
        <v>81.02</v>
      </c>
      <c r="L346" t="s">
        <v>28</v>
      </c>
      <c r="M346" t="s">
        <v>356</v>
      </c>
    </row>
    <row r="347" spans="1:13" x14ac:dyDescent="0.3">
      <c r="A347" t="s">
        <v>401</v>
      </c>
      <c r="B347" s="4">
        <v>45866</v>
      </c>
      <c r="C347" t="s">
        <v>31</v>
      </c>
      <c r="D347" t="s">
        <v>42</v>
      </c>
      <c r="E347" t="s">
        <v>62</v>
      </c>
      <c r="F347">
        <v>2</v>
      </c>
      <c r="G347" s="5">
        <v>93.86</v>
      </c>
      <c r="H347" s="6">
        <v>0.15</v>
      </c>
      <c r="I347" s="5">
        <v>159.56</v>
      </c>
      <c r="J347" s="5">
        <v>127.02</v>
      </c>
      <c r="K347" s="5">
        <v>32.54</v>
      </c>
      <c r="L347" t="s">
        <v>28</v>
      </c>
      <c r="M347" t="s">
        <v>356</v>
      </c>
    </row>
    <row r="348" spans="1:13" x14ac:dyDescent="0.3">
      <c r="A348" t="s">
        <v>402</v>
      </c>
      <c r="B348" s="4">
        <v>45866</v>
      </c>
      <c r="C348" t="s">
        <v>39</v>
      </c>
      <c r="D348" t="s">
        <v>42</v>
      </c>
      <c r="E348" t="s">
        <v>43</v>
      </c>
      <c r="F348">
        <v>4</v>
      </c>
      <c r="G348" s="5">
        <v>38.700000000000003</v>
      </c>
      <c r="H348" s="6">
        <v>0</v>
      </c>
      <c r="I348" s="5">
        <v>154.80000000000001</v>
      </c>
      <c r="J348" s="5">
        <v>83.21</v>
      </c>
      <c r="K348" s="5">
        <v>71.59</v>
      </c>
      <c r="L348" t="s">
        <v>28</v>
      </c>
      <c r="M348" t="s">
        <v>356</v>
      </c>
    </row>
    <row r="349" spans="1:13" x14ac:dyDescent="0.3">
      <c r="A349" t="s">
        <v>403</v>
      </c>
      <c r="B349" s="4">
        <v>45867</v>
      </c>
      <c r="C349" t="s">
        <v>51</v>
      </c>
      <c r="D349" t="s">
        <v>35</v>
      </c>
      <c r="E349" t="s">
        <v>103</v>
      </c>
      <c r="F349">
        <v>6</v>
      </c>
      <c r="G349" s="5">
        <v>172.9</v>
      </c>
      <c r="H349" s="6">
        <v>0</v>
      </c>
      <c r="I349" s="5">
        <v>1037.4000000000001</v>
      </c>
      <c r="J349" s="5">
        <v>684.99</v>
      </c>
      <c r="K349" s="5">
        <v>352.41</v>
      </c>
      <c r="L349" t="s">
        <v>28</v>
      </c>
      <c r="M349" t="s">
        <v>356</v>
      </c>
    </row>
    <row r="350" spans="1:13" x14ac:dyDescent="0.3">
      <c r="A350" t="s">
        <v>404</v>
      </c>
      <c r="B350" s="4">
        <v>45868</v>
      </c>
      <c r="C350" t="s">
        <v>25</v>
      </c>
      <c r="D350" t="s">
        <v>26</v>
      </c>
      <c r="E350" t="s">
        <v>65</v>
      </c>
      <c r="F350">
        <v>2</v>
      </c>
      <c r="G350" s="5">
        <v>18.899999999999999</v>
      </c>
      <c r="H350" s="6">
        <v>0</v>
      </c>
      <c r="I350" s="5">
        <v>37.799999999999997</v>
      </c>
      <c r="J350" s="5">
        <v>21.28</v>
      </c>
      <c r="K350" s="5">
        <v>16.52</v>
      </c>
      <c r="L350" t="s">
        <v>28</v>
      </c>
      <c r="M350" t="s">
        <v>356</v>
      </c>
    </row>
    <row r="351" spans="1:13" x14ac:dyDescent="0.3">
      <c r="A351" t="s">
        <v>405</v>
      </c>
      <c r="B351" s="4">
        <v>45869</v>
      </c>
      <c r="C351" t="s">
        <v>39</v>
      </c>
      <c r="D351" t="s">
        <v>42</v>
      </c>
      <c r="E351" t="s">
        <v>62</v>
      </c>
      <c r="F351">
        <v>6</v>
      </c>
      <c r="G351" s="5">
        <v>35.200000000000003</v>
      </c>
      <c r="H351" s="6">
        <v>0.15</v>
      </c>
      <c r="I351" s="5">
        <v>179.52</v>
      </c>
      <c r="J351" s="5">
        <v>125.87</v>
      </c>
      <c r="K351" s="5">
        <v>53.65</v>
      </c>
      <c r="L351" t="s">
        <v>37</v>
      </c>
      <c r="M351" t="s">
        <v>356</v>
      </c>
    </row>
    <row r="352" spans="1:13" x14ac:dyDescent="0.3">
      <c r="A352" t="s">
        <v>406</v>
      </c>
      <c r="B352" s="4">
        <v>45869</v>
      </c>
      <c r="C352" t="s">
        <v>25</v>
      </c>
      <c r="D352" t="s">
        <v>42</v>
      </c>
      <c r="E352" t="s">
        <v>62</v>
      </c>
      <c r="F352">
        <v>6</v>
      </c>
      <c r="G352" s="5">
        <v>57.09</v>
      </c>
      <c r="H352" s="6">
        <v>0.2</v>
      </c>
      <c r="I352" s="5">
        <v>274.02999999999997</v>
      </c>
      <c r="J352" s="5">
        <v>182.16</v>
      </c>
      <c r="K352" s="5">
        <v>91.87</v>
      </c>
      <c r="L352" t="s">
        <v>37</v>
      </c>
      <c r="M352" t="s">
        <v>356</v>
      </c>
    </row>
    <row r="353" spans="1:13" x14ac:dyDescent="0.3">
      <c r="A353" t="s">
        <v>407</v>
      </c>
      <c r="B353" s="4">
        <v>45870</v>
      </c>
      <c r="C353" t="s">
        <v>25</v>
      </c>
      <c r="D353" t="s">
        <v>26</v>
      </c>
      <c r="E353" t="s">
        <v>32</v>
      </c>
      <c r="F353">
        <v>5</v>
      </c>
      <c r="G353" s="5">
        <v>11.93</v>
      </c>
      <c r="H353" s="6">
        <v>0.2</v>
      </c>
      <c r="I353" s="5">
        <v>47.72</v>
      </c>
      <c r="J353" s="5">
        <v>35.630000000000003</v>
      </c>
      <c r="K353" s="5">
        <v>12.09</v>
      </c>
      <c r="L353" t="s">
        <v>28</v>
      </c>
      <c r="M353" t="s">
        <v>408</v>
      </c>
    </row>
    <row r="354" spans="1:13" x14ac:dyDescent="0.3">
      <c r="A354" t="s">
        <v>409</v>
      </c>
      <c r="B354" s="4">
        <v>45870</v>
      </c>
      <c r="C354" t="s">
        <v>39</v>
      </c>
      <c r="D354" t="s">
        <v>35</v>
      </c>
      <c r="E354" t="s">
        <v>47</v>
      </c>
      <c r="F354">
        <v>3</v>
      </c>
      <c r="G354" s="5">
        <v>296.33</v>
      </c>
      <c r="H354" s="6">
        <v>0</v>
      </c>
      <c r="I354" s="5">
        <v>888.99</v>
      </c>
      <c r="J354" s="5">
        <v>634.66999999999996</v>
      </c>
      <c r="K354" s="5">
        <v>254.32</v>
      </c>
      <c r="L354" t="s">
        <v>37</v>
      </c>
      <c r="M354" t="s">
        <v>408</v>
      </c>
    </row>
    <row r="355" spans="1:13" x14ac:dyDescent="0.3">
      <c r="A355" t="s">
        <v>410</v>
      </c>
      <c r="B355" s="4">
        <v>45871</v>
      </c>
      <c r="C355" t="s">
        <v>25</v>
      </c>
      <c r="D355" t="s">
        <v>26</v>
      </c>
      <c r="E355" t="s">
        <v>32</v>
      </c>
      <c r="F355">
        <v>6</v>
      </c>
      <c r="G355" s="5">
        <v>16.32</v>
      </c>
      <c r="H355" s="6">
        <v>0.1</v>
      </c>
      <c r="I355" s="5">
        <v>88.13</v>
      </c>
      <c r="J355" s="5">
        <v>56.79</v>
      </c>
      <c r="K355" s="5">
        <v>31.34</v>
      </c>
      <c r="L355" t="s">
        <v>28</v>
      </c>
      <c r="M355" t="s">
        <v>408</v>
      </c>
    </row>
    <row r="356" spans="1:13" x14ac:dyDescent="0.3">
      <c r="A356" t="s">
        <v>411</v>
      </c>
      <c r="B356" s="4">
        <v>45872</v>
      </c>
      <c r="C356" t="s">
        <v>39</v>
      </c>
      <c r="D356" t="s">
        <v>35</v>
      </c>
      <c r="E356" t="s">
        <v>47</v>
      </c>
      <c r="F356">
        <v>7</v>
      </c>
      <c r="G356" s="5">
        <v>213.94</v>
      </c>
      <c r="H356" s="6">
        <v>0.05</v>
      </c>
      <c r="I356" s="5">
        <v>1422.7</v>
      </c>
      <c r="J356" s="5">
        <v>1013.01</v>
      </c>
      <c r="K356" s="5">
        <v>409.69</v>
      </c>
      <c r="L356" t="s">
        <v>28</v>
      </c>
      <c r="M356" t="s">
        <v>408</v>
      </c>
    </row>
    <row r="357" spans="1:13" x14ac:dyDescent="0.3">
      <c r="A357" t="s">
        <v>412</v>
      </c>
      <c r="B357" s="4">
        <v>45873</v>
      </c>
      <c r="C357" t="s">
        <v>31</v>
      </c>
      <c r="D357" t="s">
        <v>42</v>
      </c>
      <c r="E357" t="s">
        <v>97</v>
      </c>
      <c r="F357">
        <v>8</v>
      </c>
      <c r="G357" s="5">
        <v>35.01</v>
      </c>
      <c r="H357" s="6">
        <v>0.05</v>
      </c>
      <c r="I357" s="5">
        <v>266.08</v>
      </c>
      <c r="J357" s="5">
        <v>186.57</v>
      </c>
      <c r="K357" s="5">
        <v>79.510000000000005</v>
      </c>
      <c r="L357" t="s">
        <v>33</v>
      </c>
      <c r="M357" t="s">
        <v>408</v>
      </c>
    </row>
    <row r="358" spans="1:13" x14ac:dyDescent="0.3">
      <c r="A358" t="s">
        <v>413</v>
      </c>
      <c r="B358" s="4">
        <v>45873</v>
      </c>
      <c r="C358" t="s">
        <v>39</v>
      </c>
      <c r="D358" t="s">
        <v>26</v>
      </c>
      <c r="E358" t="s">
        <v>65</v>
      </c>
      <c r="F358">
        <v>4</v>
      </c>
      <c r="G358" s="5">
        <v>14.55</v>
      </c>
      <c r="H358" s="6">
        <v>0</v>
      </c>
      <c r="I358" s="5">
        <v>58.2</v>
      </c>
      <c r="J358" s="5">
        <v>37.590000000000003</v>
      </c>
      <c r="K358" s="5">
        <v>20.61</v>
      </c>
      <c r="L358" t="s">
        <v>33</v>
      </c>
      <c r="M358" t="s">
        <v>408</v>
      </c>
    </row>
    <row r="359" spans="1:13" x14ac:dyDescent="0.3">
      <c r="A359" t="s">
        <v>414</v>
      </c>
      <c r="B359" s="4">
        <v>45874</v>
      </c>
      <c r="C359" t="s">
        <v>51</v>
      </c>
      <c r="D359" t="s">
        <v>26</v>
      </c>
      <c r="E359" t="s">
        <v>27</v>
      </c>
      <c r="F359">
        <v>5</v>
      </c>
      <c r="G359" s="5">
        <v>19.8</v>
      </c>
      <c r="H359" s="6">
        <v>0</v>
      </c>
      <c r="I359" s="5">
        <v>99</v>
      </c>
      <c r="J359" s="5">
        <v>60.5</v>
      </c>
      <c r="K359" s="5">
        <v>38.5</v>
      </c>
      <c r="L359" t="s">
        <v>28</v>
      </c>
      <c r="M359" t="s">
        <v>408</v>
      </c>
    </row>
    <row r="360" spans="1:13" x14ac:dyDescent="0.3">
      <c r="A360" t="s">
        <v>415</v>
      </c>
      <c r="B360" s="4">
        <v>45875</v>
      </c>
      <c r="C360" t="s">
        <v>31</v>
      </c>
      <c r="D360" t="s">
        <v>42</v>
      </c>
      <c r="E360" t="s">
        <v>97</v>
      </c>
      <c r="F360">
        <v>3</v>
      </c>
      <c r="G360" s="5">
        <v>16.89</v>
      </c>
      <c r="H360" s="6">
        <v>0.1</v>
      </c>
      <c r="I360" s="5">
        <v>45.6</v>
      </c>
      <c r="J360" s="5">
        <v>31.6</v>
      </c>
      <c r="K360" s="5">
        <v>14</v>
      </c>
      <c r="L360" t="s">
        <v>28</v>
      </c>
      <c r="M360" t="s">
        <v>408</v>
      </c>
    </row>
    <row r="361" spans="1:13" x14ac:dyDescent="0.3">
      <c r="A361" t="s">
        <v>416</v>
      </c>
      <c r="B361" s="4">
        <v>45875</v>
      </c>
      <c r="C361" t="s">
        <v>25</v>
      </c>
      <c r="D361" t="s">
        <v>26</v>
      </c>
      <c r="E361" t="s">
        <v>32</v>
      </c>
      <c r="F361">
        <v>4</v>
      </c>
      <c r="G361" s="5">
        <v>17.989999999999998</v>
      </c>
      <c r="H361" s="6">
        <v>0.1</v>
      </c>
      <c r="I361" s="5">
        <v>64.760000000000005</v>
      </c>
      <c r="J361" s="5">
        <v>38.44</v>
      </c>
      <c r="K361" s="5">
        <v>26.32</v>
      </c>
      <c r="L361" t="s">
        <v>28</v>
      </c>
      <c r="M361" t="s">
        <v>408</v>
      </c>
    </row>
    <row r="362" spans="1:13" x14ac:dyDescent="0.3">
      <c r="A362" t="s">
        <v>417</v>
      </c>
      <c r="B362" s="4">
        <v>45876</v>
      </c>
      <c r="C362" t="s">
        <v>51</v>
      </c>
      <c r="D362" t="s">
        <v>42</v>
      </c>
      <c r="E362" t="s">
        <v>62</v>
      </c>
      <c r="F362">
        <v>8</v>
      </c>
      <c r="G362" s="5">
        <v>57.53</v>
      </c>
      <c r="H362" s="6">
        <v>0.1</v>
      </c>
      <c r="I362" s="5">
        <v>414.22</v>
      </c>
      <c r="J362" s="5">
        <v>257.02</v>
      </c>
      <c r="K362" s="5">
        <v>157.19999999999999</v>
      </c>
      <c r="L362" t="s">
        <v>28</v>
      </c>
      <c r="M362" t="s">
        <v>408</v>
      </c>
    </row>
    <row r="363" spans="1:13" x14ac:dyDescent="0.3">
      <c r="A363" t="s">
        <v>418</v>
      </c>
      <c r="B363" s="4">
        <v>45876</v>
      </c>
      <c r="C363" t="s">
        <v>51</v>
      </c>
      <c r="D363" t="s">
        <v>26</v>
      </c>
      <c r="E363" t="s">
        <v>65</v>
      </c>
      <c r="F363">
        <v>7</v>
      </c>
      <c r="G363" s="5">
        <v>9.64</v>
      </c>
      <c r="H363" s="6">
        <v>0.05</v>
      </c>
      <c r="I363" s="5">
        <v>64.11</v>
      </c>
      <c r="J363" s="5">
        <v>50.87</v>
      </c>
      <c r="K363" s="5">
        <v>13.24</v>
      </c>
      <c r="L363" t="s">
        <v>37</v>
      </c>
      <c r="M363" t="s">
        <v>408</v>
      </c>
    </row>
    <row r="364" spans="1:13" x14ac:dyDescent="0.3">
      <c r="A364" t="s">
        <v>419</v>
      </c>
      <c r="B364" s="4">
        <v>45878</v>
      </c>
      <c r="C364" t="s">
        <v>25</v>
      </c>
      <c r="D364" t="s">
        <v>42</v>
      </c>
      <c r="E364" t="s">
        <v>43</v>
      </c>
      <c r="F364">
        <v>6</v>
      </c>
      <c r="G364" s="5">
        <v>61.74</v>
      </c>
      <c r="H364" s="6">
        <v>0.15</v>
      </c>
      <c r="I364" s="5">
        <v>314.87</v>
      </c>
      <c r="J364" s="5">
        <v>253.28</v>
      </c>
      <c r="K364" s="5">
        <v>61.59</v>
      </c>
      <c r="L364" t="s">
        <v>28</v>
      </c>
      <c r="M364" t="s">
        <v>408</v>
      </c>
    </row>
    <row r="365" spans="1:13" x14ac:dyDescent="0.3">
      <c r="A365" t="s">
        <v>420</v>
      </c>
      <c r="B365" s="4">
        <v>45878</v>
      </c>
      <c r="C365" t="s">
        <v>51</v>
      </c>
      <c r="D365" t="s">
        <v>42</v>
      </c>
      <c r="E365" t="s">
        <v>72</v>
      </c>
      <c r="F365">
        <v>1</v>
      </c>
      <c r="G365" s="5">
        <v>1095.58</v>
      </c>
      <c r="H365" s="6">
        <v>0</v>
      </c>
      <c r="I365" s="5">
        <v>1095.58</v>
      </c>
      <c r="J365" s="5">
        <v>786.3</v>
      </c>
      <c r="K365" s="5">
        <v>309.27999999999997</v>
      </c>
      <c r="L365" t="s">
        <v>33</v>
      </c>
      <c r="M365" t="s">
        <v>408</v>
      </c>
    </row>
    <row r="366" spans="1:13" x14ac:dyDescent="0.3">
      <c r="A366" t="s">
        <v>421</v>
      </c>
      <c r="B366" s="4">
        <v>45879</v>
      </c>
      <c r="C366" t="s">
        <v>25</v>
      </c>
      <c r="D366" t="s">
        <v>35</v>
      </c>
      <c r="E366" t="s">
        <v>36</v>
      </c>
      <c r="F366">
        <v>4</v>
      </c>
      <c r="G366" s="5">
        <v>236.72</v>
      </c>
      <c r="H366" s="6">
        <v>0.05</v>
      </c>
      <c r="I366" s="5">
        <v>899.54</v>
      </c>
      <c r="J366" s="5">
        <v>768.24</v>
      </c>
      <c r="K366" s="5">
        <v>131.30000000000001</v>
      </c>
      <c r="L366" t="s">
        <v>33</v>
      </c>
      <c r="M366" t="s">
        <v>408</v>
      </c>
    </row>
    <row r="367" spans="1:13" x14ac:dyDescent="0.3">
      <c r="A367" t="s">
        <v>422</v>
      </c>
      <c r="B367" s="4">
        <v>45879</v>
      </c>
      <c r="C367" t="s">
        <v>31</v>
      </c>
      <c r="D367" t="s">
        <v>35</v>
      </c>
      <c r="E367" t="s">
        <v>40</v>
      </c>
      <c r="F367">
        <v>5</v>
      </c>
      <c r="G367" s="5">
        <v>226.09</v>
      </c>
      <c r="H367" s="6">
        <v>0.15</v>
      </c>
      <c r="I367" s="5">
        <v>960.88</v>
      </c>
      <c r="J367" s="5">
        <v>885.59</v>
      </c>
      <c r="K367" s="5">
        <v>75.290000000000006</v>
      </c>
      <c r="L367" t="s">
        <v>33</v>
      </c>
      <c r="M367" t="s">
        <v>408</v>
      </c>
    </row>
    <row r="368" spans="1:13" x14ac:dyDescent="0.3">
      <c r="A368" t="s">
        <v>423</v>
      </c>
      <c r="B368" s="4">
        <v>45881</v>
      </c>
      <c r="C368" t="s">
        <v>51</v>
      </c>
      <c r="D368" t="s">
        <v>42</v>
      </c>
      <c r="E368" t="s">
        <v>62</v>
      </c>
      <c r="F368">
        <v>5</v>
      </c>
      <c r="G368" s="5">
        <v>43.79</v>
      </c>
      <c r="H368" s="6">
        <v>0</v>
      </c>
      <c r="I368" s="5">
        <v>218.95</v>
      </c>
      <c r="J368" s="5">
        <v>175.07</v>
      </c>
      <c r="K368" s="5">
        <v>43.88</v>
      </c>
      <c r="L368" t="s">
        <v>37</v>
      </c>
      <c r="M368" t="s">
        <v>408</v>
      </c>
    </row>
    <row r="369" spans="1:13" x14ac:dyDescent="0.3">
      <c r="A369" t="s">
        <v>424</v>
      </c>
      <c r="B369" s="4">
        <v>45882</v>
      </c>
      <c r="C369" t="s">
        <v>51</v>
      </c>
      <c r="D369" t="s">
        <v>26</v>
      </c>
      <c r="E369" t="s">
        <v>68</v>
      </c>
      <c r="F369">
        <v>7</v>
      </c>
      <c r="G369" s="5">
        <v>11.93</v>
      </c>
      <c r="H369" s="6">
        <v>0.05</v>
      </c>
      <c r="I369" s="5">
        <v>79.33</v>
      </c>
      <c r="J369" s="5">
        <v>63.82</v>
      </c>
      <c r="K369" s="5">
        <v>15.51</v>
      </c>
      <c r="L369" t="s">
        <v>37</v>
      </c>
      <c r="M369" t="s">
        <v>408</v>
      </c>
    </row>
    <row r="370" spans="1:13" x14ac:dyDescent="0.3">
      <c r="A370" t="s">
        <v>425</v>
      </c>
      <c r="B370" s="4">
        <v>45884</v>
      </c>
      <c r="C370" t="s">
        <v>39</v>
      </c>
      <c r="D370" t="s">
        <v>42</v>
      </c>
      <c r="E370" t="s">
        <v>72</v>
      </c>
      <c r="F370">
        <v>5</v>
      </c>
      <c r="G370" s="5">
        <v>519.83000000000004</v>
      </c>
      <c r="H370" s="6">
        <v>0.15</v>
      </c>
      <c r="I370" s="5">
        <v>2209.2800000000002</v>
      </c>
      <c r="J370" s="5">
        <v>1488</v>
      </c>
      <c r="K370" s="5">
        <v>721.28</v>
      </c>
      <c r="L370" t="s">
        <v>28</v>
      </c>
      <c r="M370" t="s">
        <v>408</v>
      </c>
    </row>
    <row r="371" spans="1:13" x14ac:dyDescent="0.3">
      <c r="A371" t="s">
        <v>426</v>
      </c>
      <c r="B371" s="4">
        <v>45886</v>
      </c>
      <c r="C371" t="s">
        <v>39</v>
      </c>
      <c r="D371" t="s">
        <v>35</v>
      </c>
      <c r="E371" t="s">
        <v>40</v>
      </c>
      <c r="F371">
        <v>1</v>
      </c>
      <c r="G371" s="5">
        <v>146.22999999999999</v>
      </c>
      <c r="H371" s="6">
        <v>0.15</v>
      </c>
      <c r="I371" s="5">
        <v>124.3</v>
      </c>
      <c r="J371" s="5">
        <v>104.48</v>
      </c>
      <c r="K371" s="5">
        <v>19.82</v>
      </c>
      <c r="L371" t="s">
        <v>37</v>
      </c>
      <c r="M371" t="s">
        <v>408</v>
      </c>
    </row>
    <row r="372" spans="1:13" x14ac:dyDescent="0.3">
      <c r="A372" t="s">
        <v>427</v>
      </c>
      <c r="B372" s="4">
        <v>45887</v>
      </c>
      <c r="C372" t="s">
        <v>31</v>
      </c>
      <c r="D372" t="s">
        <v>42</v>
      </c>
      <c r="E372" t="s">
        <v>43</v>
      </c>
      <c r="F372">
        <v>1</v>
      </c>
      <c r="G372" s="5">
        <v>138.07</v>
      </c>
      <c r="H372" s="6">
        <v>0.15</v>
      </c>
      <c r="I372" s="5">
        <v>117.36</v>
      </c>
      <c r="J372" s="5">
        <v>103.13</v>
      </c>
      <c r="K372" s="5">
        <v>14.23</v>
      </c>
      <c r="L372" t="s">
        <v>28</v>
      </c>
      <c r="M372" t="s">
        <v>408</v>
      </c>
    </row>
    <row r="373" spans="1:13" x14ac:dyDescent="0.3">
      <c r="A373" t="s">
        <v>428</v>
      </c>
      <c r="B373" s="4">
        <v>45887</v>
      </c>
      <c r="C373" t="s">
        <v>31</v>
      </c>
      <c r="D373" t="s">
        <v>26</v>
      </c>
      <c r="E373" t="s">
        <v>27</v>
      </c>
      <c r="F373">
        <v>8</v>
      </c>
      <c r="G373" s="5">
        <v>26.82</v>
      </c>
      <c r="H373" s="6">
        <v>0.15</v>
      </c>
      <c r="I373" s="5">
        <v>182.38</v>
      </c>
      <c r="J373" s="5">
        <v>131.81</v>
      </c>
      <c r="K373" s="5">
        <v>50.57</v>
      </c>
      <c r="L373" t="s">
        <v>28</v>
      </c>
      <c r="M373" t="s">
        <v>408</v>
      </c>
    </row>
    <row r="374" spans="1:13" x14ac:dyDescent="0.3">
      <c r="A374" t="s">
        <v>429</v>
      </c>
      <c r="B374" s="4">
        <v>45887</v>
      </c>
      <c r="C374" t="s">
        <v>39</v>
      </c>
      <c r="D374" t="s">
        <v>42</v>
      </c>
      <c r="E374" t="s">
        <v>43</v>
      </c>
      <c r="F374">
        <v>6</v>
      </c>
      <c r="G374" s="5">
        <v>104.96</v>
      </c>
      <c r="H374" s="6">
        <v>0.05</v>
      </c>
      <c r="I374" s="5">
        <v>598.27</v>
      </c>
      <c r="J374" s="5">
        <v>502.16</v>
      </c>
      <c r="K374" s="5">
        <v>96.11</v>
      </c>
      <c r="L374" t="s">
        <v>33</v>
      </c>
      <c r="M374" t="s">
        <v>408</v>
      </c>
    </row>
    <row r="375" spans="1:13" x14ac:dyDescent="0.3">
      <c r="A375" t="s">
        <v>430</v>
      </c>
      <c r="B375" s="4">
        <v>45888</v>
      </c>
      <c r="C375" t="s">
        <v>51</v>
      </c>
      <c r="D375" t="s">
        <v>35</v>
      </c>
      <c r="E375" t="s">
        <v>40</v>
      </c>
      <c r="F375">
        <v>6</v>
      </c>
      <c r="G375" s="5">
        <v>159.11000000000001</v>
      </c>
      <c r="H375" s="6">
        <v>0.05</v>
      </c>
      <c r="I375" s="5">
        <v>906.93</v>
      </c>
      <c r="J375" s="5">
        <v>522.4</v>
      </c>
      <c r="K375" s="5">
        <v>384.53</v>
      </c>
      <c r="L375" t="s">
        <v>33</v>
      </c>
      <c r="M375" t="s">
        <v>408</v>
      </c>
    </row>
    <row r="376" spans="1:13" x14ac:dyDescent="0.3">
      <c r="A376" t="s">
        <v>431</v>
      </c>
      <c r="B376" s="4">
        <v>45888</v>
      </c>
      <c r="C376" t="s">
        <v>39</v>
      </c>
      <c r="D376" t="s">
        <v>26</v>
      </c>
      <c r="E376" t="s">
        <v>68</v>
      </c>
      <c r="F376">
        <v>5</v>
      </c>
      <c r="G376" s="5">
        <v>10.71</v>
      </c>
      <c r="H376" s="6">
        <v>0.1</v>
      </c>
      <c r="I376" s="5">
        <v>48.2</v>
      </c>
      <c r="J376" s="5">
        <v>34.74</v>
      </c>
      <c r="K376" s="5">
        <v>13.46</v>
      </c>
      <c r="L376" t="s">
        <v>37</v>
      </c>
      <c r="M376" t="s">
        <v>408</v>
      </c>
    </row>
    <row r="377" spans="1:13" x14ac:dyDescent="0.3">
      <c r="A377" t="s">
        <v>432</v>
      </c>
      <c r="B377" s="4">
        <v>45889</v>
      </c>
      <c r="C377" t="s">
        <v>39</v>
      </c>
      <c r="D377" t="s">
        <v>42</v>
      </c>
      <c r="E377" t="s">
        <v>72</v>
      </c>
      <c r="F377">
        <v>7</v>
      </c>
      <c r="G377" s="5">
        <v>873.99</v>
      </c>
      <c r="H377" s="6">
        <v>0</v>
      </c>
      <c r="I377" s="5">
        <v>6117.93</v>
      </c>
      <c r="J377" s="5">
        <v>3326.9</v>
      </c>
      <c r="K377" s="5">
        <v>2791.03</v>
      </c>
      <c r="L377" t="s">
        <v>28</v>
      </c>
      <c r="M377" t="s">
        <v>408</v>
      </c>
    </row>
    <row r="378" spans="1:13" x14ac:dyDescent="0.3">
      <c r="A378" t="s">
        <v>433</v>
      </c>
      <c r="B378" s="4">
        <v>45889</v>
      </c>
      <c r="C378" t="s">
        <v>25</v>
      </c>
      <c r="D378" t="s">
        <v>35</v>
      </c>
      <c r="E378" t="s">
        <v>40</v>
      </c>
      <c r="F378">
        <v>4</v>
      </c>
      <c r="G378" s="5">
        <v>157.78</v>
      </c>
      <c r="H378" s="6">
        <v>0</v>
      </c>
      <c r="I378" s="5">
        <v>631.12</v>
      </c>
      <c r="J378" s="5">
        <v>374.83</v>
      </c>
      <c r="K378" s="5">
        <v>256.29000000000002</v>
      </c>
      <c r="L378" t="s">
        <v>33</v>
      </c>
      <c r="M378" t="s">
        <v>408</v>
      </c>
    </row>
    <row r="379" spans="1:13" x14ac:dyDescent="0.3">
      <c r="A379" t="s">
        <v>434</v>
      </c>
      <c r="B379" s="4">
        <v>45889</v>
      </c>
      <c r="C379" t="s">
        <v>51</v>
      </c>
      <c r="D379" t="s">
        <v>26</v>
      </c>
      <c r="E379" t="s">
        <v>68</v>
      </c>
      <c r="F379">
        <v>2</v>
      </c>
      <c r="G379" s="5">
        <v>5.67</v>
      </c>
      <c r="H379" s="6">
        <v>0.05</v>
      </c>
      <c r="I379" s="5">
        <v>10.77</v>
      </c>
      <c r="J379" s="5">
        <v>7.68</v>
      </c>
      <c r="K379" s="5">
        <v>3.09</v>
      </c>
      <c r="L379" t="s">
        <v>37</v>
      </c>
      <c r="M379" t="s">
        <v>408</v>
      </c>
    </row>
    <row r="380" spans="1:13" x14ac:dyDescent="0.3">
      <c r="A380" t="s">
        <v>435</v>
      </c>
      <c r="B380" s="4">
        <v>45889</v>
      </c>
      <c r="C380" t="s">
        <v>25</v>
      </c>
      <c r="D380" t="s">
        <v>42</v>
      </c>
      <c r="E380" t="s">
        <v>43</v>
      </c>
      <c r="F380">
        <v>1</v>
      </c>
      <c r="G380" s="5">
        <v>71.31</v>
      </c>
      <c r="H380" s="6">
        <v>0.1</v>
      </c>
      <c r="I380" s="5">
        <v>64.180000000000007</v>
      </c>
      <c r="J380" s="5">
        <v>44.23</v>
      </c>
      <c r="K380" s="5">
        <v>19.95</v>
      </c>
      <c r="L380" t="s">
        <v>37</v>
      </c>
      <c r="M380" t="s">
        <v>408</v>
      </c>
    </row>
    <row r="381" spans="1:13" x14ac:dyDescent="0.3">
      <c r="A381" t="s">
        <v>436</v>
      </c>
      <c r="B381" s="4">
        <v>45890</v>
      </c>
      <c r="C381" t="s">
        <v>31</v>
      </c>
      <c r="D381" t="s">
        <v>26</v>
      </c>
      <c r="E381" t="s">
        <v>65</v>
      </c>
      <c r="F381">
        <v>1</v>
      </c>
      <c r="G381" s="5">
        <v>10.96</v>
      </c>
      <c r="H381" s="6">
        <v>0</v>
      </c>
      <c r="I381" s="5">
        <v>10.96</v>
      </c>
      <c r="J381" s="5">
        <v>6.31</v>
      </c>
      <c r="K381" s="5">
        <v>4.6500000000000004</v>
      </c>
      <c r="L381" t="s">
        <v>37</v>
      </c>
      <c r="M381" t="s">
        <v>408</v>
      </c>
    </row>
    <row r="382" spans="1:13" x14ac:dyDescent="0.3">
      <c r="A382" t="s">
        <v>437</v>
      </c>
      <c r="B382" s="4">
        <v>45892</v>
      </c>
      <c r="C382" t="s">
        <v>25</v>
      </c>
      <c r="D382" t="s">
        <v>26</v>
      </c>
      <c r="E382" t="s">
        <v>27</v>
      </c>
      <c r="F382">
        <v>6</v>
      </c>
      <c r="G382" s="5">
        <v>15</v>
      </c>
      <c r="H382" s="6">
        <v>0</v>
      </c>
      <c r="I382" s="5">
        <v>90</v>
      </c>
      <c r="J382" s="5">
        <v>51.99</v>
      </c>
      <c r="K382" s="5">
        <v>38.01</v>
      </c>
      <c r="L382" t="s">
        <v>28</v>
      </c>
      <c r="M382" t="s">
        <v>408</v>
      </c>
    </row>
    <row r="383" spans="1:13" x14ac:dyDescent="0.3">
      <c r="A383" t="s">
        <v>438</v>
      </c>
      <c r="B383" s="4">
        <v>45892</v>
      </c>
      <c r="C383" t="s">
        <v>39</v>
      </c>
      <c r="D383" t="s">
        <v>26</v>
      </c>
      <c r="E383" t="s">
        <v>53</v>
      </c>
      <c r="F383">
        <v>3</v>
      </c>
      <c r="G383" s="5">
        <v>9.84</v>
      </c>
      <c r="H383" s="6">
        <v>0.15</v>
      </c>
      <c r="I383" s="5">
        <v>25.09</v>
      </c>
      <c r="J383" s="5">
        <v>16.809999999999999</v>
      </c>
      <c r="K383" s="5">
        <v>8.2799999999999994</v>
      </c>
      <c r="L383" t="s">
        <v>28</v>
      </c>
      <c r="M383" t="s">
        <v>408</v>
      </c>
    </row>
    <row r="384" spans="1:13" x14ac:dyDescent="0.3">
      <c r="A384" t="s">
        <v>439</v>
      </c>
      <c r="B384" s="4">
        <v>45893</v>
      </c>
      <c r="C384" t="s">
        <v>31</v>
      </c>
      <c r="D384" t="s">
        <v>35</v>
      </c>
      <c r="E384" t="s">
        <v>36</v>
      </c>
      <c r="F384">
        <v>8</v>
      </c>
      <c r="G384" s="5">
        <v>67.319999999999993</v>
      </c>
      <c r="H384" s="6">
        <v>0.1</v>
      </c>
      <c r="I384" s="5">
        <v>484.7</v>
      </c>
      <c r="J384" s="5">
        <v>370.96</v>
      </c>
      <c r="K384" s="5">
        <v>113.74</v>
      </c>
      <c r="L384" t="s">
        <v>28</v>
      </c>
      <c r="M384" t="s">
        <v>408</v>
      </c>
    </row>
    <row r="385" spans="1:13" x14ac:dyDescent="0.3">
      <c r="A385" t="s">
        <v>440</v>
      </c>
      <c r="B385" s="4">
        <v>45895</v>
      </c>
      <c r="C385" t="s">
        <v>51</v>
      </c>
      <c r="D385" t="s">
        <v>35</v>
      </c>
      <c r="E385" t="s">
        <v>103</v>
      </c>
      <c r="F385">
        <v>6</v>
      </c>
      <c r="G385" s="5">
        <v>285.64</v>
      </c>
      <c r="H385" s="6">
        <v>0.15</v>
      </c>
      <c r="I385" s="5">
        <v>1456.76</v>
      </c>
      <c r="J385" s="5">
        <v>901.71</v>
      </c>
      <c r="K385" s="5">
        <v>555.04999999999995</v>
      </c>
      <c r="L385" t="s">
        <v>33</v>
      </c>
      <c r="M385" t="s">
        <v>408</v>
      </c>
    </row>
    <row r="386" spans="1:13" x14ac:dyDescent="0.3">
      <c r="A386" t="s">
        <v>441</v>
      </c>
      <c r="B386" s="4">
        <v>45895</v>
      </c>
      <c r="C386" t="s">
        <v>31</v>
      </c>
      <c r="D386" t="s">
        <v>35</v>
      </c>
      <c r="E386" t="s">
        <v>45</v>
      </c>
      <c r="F386">
        <v>5</v>
      </c>
      <c r="G386" s="5">
        <v>138.97</v>
      </c>
      <c r="H386" s="6">
        <v>0.1</v>
      </c>
      <c r="I386" s="5">
        <v>625.37</v>
      </c>
      <c r="J386" s="5">
        <v>370.32</v>
      </c>
      <c r="K386" s="5">
        <v>255.05</v>
      </c>
      <c r="L386" t="s">
        <v>28</v>
      </c>
      <c r="M386" t="s">
        <v>408</v>
      </c>
    </row>
    <row r="387" spans="1:13" x14ac:dyDescent="0.3">
      <c r="A387" t="s">
        <v>442</v>
      </c>
      <c r="B387" s="4">
        <v>45896</v>
      </c>
      <c r="C387" t="s">
        <v>39</v>
      </c>
      <c r="D387" t="s">
        <v>42</v>
      </c>
      <c r="E387" t="s">
        <v>72</v>
      </c>
      <c r="F387">
        <v>4</v>
      </c>
      <c r="G387" s="5">
        <v>930.33</v>
      </c>
      <c r="H387" s="6">
        <v>0</v>
      </c>
      <c r="I387" s="5">
        <v>3721.32</v>
      </c>
      <c r="J387" s="5">
        <v>2926.51</v>
      </c>
      <c r="K387" s="5">
        <v>794.81</v>
      </c>
      <c r="L387" t="s">
        <v>33</v>
      </c>
      <c r="M387" t="s">
        <v>408</v>
      </c>
    </row>
    <row r="388" spans="1:13" x14ac:dyDescent="0.3">
      <c r="A388" t="s">
        <v>443</v>
      </c>
      <c r="B388" s="4">
        <v>45896</v>
      </c>
      <c r="C388" t="s">
        <v>25</v>
      </c>
      <c r="D388" t="s">
        <v>26</v>
      </c>
      <c r="E388" t="s">
        <v>32</v>
      </c>
      <c r="F388">
        <v>4</v>
      </c>
      <c r="G388" s="5">
        <v>14.37</v>
      </c>
      <c r="H388" s="6">
        <v>0.15</v>
      </c>
      <c r="I388" s="5">
        <v>48.86</v>
      </c>
      <c r="J388" s="5">
        <v>39.57</v>
      </c>
      <c r="K388" s="5">
        <v>9.2899999999999991</v>
      </c>
      <c r="L388" t="s">
        <v>28</v>
      </c>
      <c r="M388" t="s">
        <v>408</v>
      </c>
    </row>
    <row r="389" spans="1:13" x14ac:dyDescent="0.3">
      <c r="A389" t="s">
        <v>444</v>
      </c>
      <c r="B389" s="4">
        <v>45898</v>
      </c>
      <c r="C389" t="s">
        <v>51</v>
      </c>
      <c r="D389" t="s">
        <v>26</v>
      </c>
      <c r="E389" t="s">
        <v>65</v>
      </c>
      <c r="F389">
        <v>5</v>
      </c>
      <c r="G389" s="5">
        <v>18.34</v>
      </c>
      <c r="H389" s="6">
        <v>0.15</v>
      </c>
      <c r="I389" s="5">
        <v>77.95</v>
      </c>
      <c r="J389" s="5">
        <v>74.08</v>
      </c>
      <c r="K389" s="5">
        <v>3.87</v>
      </c>
      <c r="L389" t="s">
        <v>33</v>
      </c>
      <c r="M389" t="s">
        <v>408</v>
      </c>
    </row>
    <row r="390" spans="1:13" x14ac:dyDescent="0.3">
      <c r="A390" t="s">
        <v>445</v>
      </c>
      <c r="B390" s="4">
        <v>45899</v>
      </c>
      <c r="C390" t="s">
        <v>51</v>
      </c>
      <c r="D390" t="s">
        <v>42</v>
      </c>
      <c r="E390" t="s">
        <v>43</v>
      </c>
      <c r="F390">
        <v>3</v>
      </c>
      <c r="G390" s="5">
        <v>137.18</v>
      </c>
      <c r="H390" s="6">
        <v>0</v>
      </c>
      <c r="I390" s="5">
        <v>411.54</v>
      </c>
      <c r="J390" s="5">
        <v>320.49</v>
      </c>
      <c r="K390" s="5">
        <v>91.05</v>
      </c>
      <c r="L390" t="s">
        <v>33</v>
      </c>
      <c r="M390" t="s">
        <v>408</v>
      </c>
    </row>
    <row r="391" spans="1:13" x14ac:dyDescent="0.3">
      <c r="A391" t="s">
        <v>446</v>
      </c>
      <c r="B391" s="4">
        <v>45899</v>
      </c>
      <c r="C391" t="s">
        <v>51</v>
      </c>
      <c r="D391" t="s">
        <v>42</v>
      </c>
      <c r="E391" t="s">
        <v>72</v>
      </c>
      <c r="F391">
        <v>7</v>
      </c>
      <c r="G391" s="5">
        <v>793.3</v>
      </c>
      <c r="H391" s="6">
        <v>0</v>
      </c>
      <c r="I391" s="5">
        <v>5553.1</v>
      </c>
      <c r="J391" s="5">
        <v>3303.34</v>
      </c>
      <c r="K391" s="5">
        <v>2249.7600000000002</v>
      </c>
      <c r="L391" t="s">
        <v>37</v>
      </c>
      <c r="M391" t="s">
        <v>408</v>
      </c>
    </row>
    <row r="392" spans="1:13" x14ac:dyDescent="0.3">
      <c r="A392" t="s">
        <v>447</v>
      </c>
      <c r="B392" s="4">
        <v>45899</v>
      </c>
      <c r="C392" t="s">
        <v>31</v>
      </c>
      <c r="D392" t="s">
        <v>35</v>
      </c>
      <c r="E392" t="s">
        <v>103</v>
      </c>
      <c r="F392">
        <v>6</v>
      </c>
      <c r="G392" s="5">
        <v>283.49</v>
      </c>
      <c r="H392" s="6">
        <v>0.05</v>
      </c>
      <c r="I392" s="5">
        <v>1615.89</v>
      </c>
      <c r="J392" s="5">
        <v>886.33</v>
      </c>
      <c r="K392" s="5">
        <v>729.56</v>
      </c>
      <c r="L392" t="s">
        <v>37</v>
      </c>
      <c r="M392" t="s">
        <v>408</v>
      </c>
    </row>
    <row r="393" spans="1:13" x14ac:dyDescent="0.3">
      <c r="A393" t="s">
        <v>448</v>
      </c>
      <c r="B393" s="4">
        <v>45899</v>
      </c>
      <c r="C393" t="s">
        <v>51</v>
      </c>
      <c r="D393" t="s">
        <v>42</v>
      </c>
      <c r="E393" t="s">
        <v>59</v>
      </c>
      <c r="F393">
        <v>6</v>
      </c>
      <c r="G393" s="5">
        <v>135.38</v>
      </c>
      <c r="H393" s="6">
        <v>0.1</v>
      </c>
      <c r="I393" s="5">
        <v>731.05</v>
      </c>
      <c r="J393" s="5">
        <v>427.68</v>
      </c>
      <c r="K393" s="5">
        <v>303.37</v>
      </c>
      <c r="L393" t="s">
        <v>28</v>
      </c>
      <c r="M393" t="s">
        <v>408</v>
      </c>
    </row>
    <row r="394" spans="1:13" x14ac:dyDescent="0.3">
      <c r="A394" t="s">
        <v>449</v>
      </c>
      <c r="B394" s="4">
        <v>45900</v>
      </c>
      <c r="C394" t="s">
        <v>39</v>
      </c>
      <c r="D394" t="s">
        <v>26</v>
      </c>
      <c r="E394" t="s">
        <v>65</v>
      </c>
      <c r="F394">
        <v>4</v>
      </c>
      <c r="G394" s="5">
        <v>4.58</v>
      </c>
      <c r="H394" s="6">
        <v>0.1</v>
      </c>
      <c r="I394" s="5">
        <v>16.489999999999998</v>
      </c>
      <c r="J394" s="5">
        <v>10.220000000000001</v>
      </c>
      <c r="K394" s="5">
        <v>6.27</v>
      </c>
      <c r="L394" t="s">
        <v>33</v>
      </c>
      <c r="M394" t="s">
        <v>408</v>
      </c>
    </row>
    <row r="395" spans="1:13" x14ac:dyDescent="0.3">
      <c r="A395" t="s">
        <v>450</v>
      </c>
      <c r="B395" s="4">
        <v>45900</v>
      </c>
      <c r="C395" t="s">
        <v>25</v>
      </c>
      <c r="D395" t="s">
        <v>26</v>
      </c>
      <c r="E395" t="s">
        <v>65</v>
      </c>
      <c r="F395">
        <v>2</v>
      </c>
      <c r="G395" s="5">
        <v>7.89</v>
      </c>
      <c r="H395" s="6">
        <v>0</v>
      </c>
      <c r="I395" s="5">
        <v>15.78</v>
      </c>
      <c r="J395" s="5">
        <v>9.33</v>
      </c>
      <c r="K395" s="5">
        <v>6.45</v>
      </c>
      <c r="L395" t="s">
        <v>33</v>
      </c>
      <c r="M395" t="s">
        <v>408</v>
      </c>
    </row>
    <row r="396" spans="1:13" x14ac:dyDescent="0.3">
      <c r="A396" t="s">
        <v>451</v>
      </c>
      <c r="B396" s="4">
        <v>45900</v>
      </c>
      <c r="C396" t="s">
        <v>25</v>
      </c>
      <c r="D396" t="s">
        <v>42</v>
      </c>
      <c r="E396" t="s">
        <v>59</v>
      </c>
      <c r="F396">
        <v>6</v>
      </c>
      <c r="G396" s="5">
        <v>218.62</v>
      </c>
      <c r="H396" s="6">
        <v>0.1</v>
      </c>
      <c r="I396" s="5">
        <v>1180.55</v>
      </c>
      <c r="J396" s="5">
        <v>689.35</v>
      </c>
      <c r="K396" s="5">
        <v>491.2</v>
      </c>
      <c r="L396" t="s">
        <v>28</v>
      </c>
      <c r="M396" t="s">
        <v>408</v>
      </c>
    </row>
    <row r="397" spans="1:13" x14ac:dyDescent="0.3">
      <c r="A397" t="s">
        <v>452</v>
      </c>
      <c r="B397" s="4">
        <v>45900</v>
      </c>
      <c r="C397" t="s">
        <v>51</v>
      </c>
      <c r="D397" t="s">
        <v>26</v>
      </c>
      <c r="E397" t="s">
        <v>53</v>
      </c>
      <c r="F397">
        <v>1</v>
      </c>
      <c r="G397" s="5">
        <v>4.8099999999999996</v>
      </c>
      <c r="H397" s="6">
        <v>0</v>
      </c>
      <c r="I397" s="5">
        <v>4.8099999999999996</v>
      </c>
      <c r="J397" s="5">
        <v>3.22</v>
      </c>
      <c r="K397" s="5">
        <v>1.59</v>
      </c>
      <c r="L397" t="s">
        <v>28</v>
      </c>
      <c r="M397" t="s">
        <v>408</v>
      </c>
    </row>
    <row r="398" spans="1:13" x14ac:dyDescent="0.3">
      <c r="A398" t="s">
        <v>453</v>
      </c>
      <c r="B398" s="4">
        <v>45901</v>
      </c>
      <c r="C398" t="s">
        <v>39</v>
      </c>
      <c r="D398" t="s">
        <v>35</v>
      </c>
      <c r="E398" t="s">
        <v>47</v>
      </c>
      <c r="F398">
        <v>1</v>
      </c>
      <c r="G398" s="5">
        <v>318.08</v>
      </c>
      <c r="H398" s="6">
        <v>0.05</v>
      </c>
      <c r="I398" s="5">
        <v>302.18</v>
      </c>
      <c r="J398" s="5">
        <v>210.84</v>
      </c>
      <c r="K398" s="5">
        <v>91.34</v>
      </c>
      <c r="L398" t="s">
        <v>37</v>
      </c>
      <c r="M398" t="s">
        <v>454</v>
      </c>
    </row>
    <row r="399" spans="1:13" x14ac:dyDescent="0.3">
      <c r="A399" t="s">
        <v>455</v>
      </c>
      <c r="B399" s="4">
        <v>45901</v>
      </c>
      <c r="C399" t="s">
        <v>39</v>
      </c>
      <c r="D399" t="s">
        <v>26</v>
      </c>
      <c r="E399" t="s">
        <v>27</v>
      </c>
      <c r="F399">
        <v>8</v>
      </c>
      <c r="G399" s="5">
        <v>7.22</v>
      </c>
      <c r="H399" s="6">
        <v>0.05</v>
      </c>
      <c r="I399" s="5">
        <v>54.87</v>
      </c>
      <c r="J399" s="5">
        <v>46.37</v>
      </c>
      <c r="K399" s="5">
        <v>8.5</v>
      </c>
      <c r="L399" t="s">
        <v>37</v>
      </c>
      <c r="M399" t="s">
        <v>454</v>
      </c>
    </row>
    <row r="400" spans="1:13" x14ac:dyDescent="0.3">
      <c r="A400" t="s">
        <v>456</v>
      </c>
      <c r="B400" s="4">
        <v>45902</v>
      </c>
      <c r="C400" t="s">
        <v>51</v>
      </c>
      <c r="D400" t="s">
        <v>26</v>
      </c>
      <c r="E400" t="s">
        <v>32</v>
      </c>
      <c r="F400">
        <v>3</v>
      </c>
      <c r="G400" s="5">
        <v>9.69</v>
      </c>
      <c r="H400" s="6">
        <v>0.15</v>
      </c>
      <c r="I400" s="5">
        <v>24.71</v>
      </c>
      <c r="J400" s="5">
        <v>21.42</v>
      </c>
      <c r="K400" s="5">
        <v>3.29</v>
      </c>
      <c r="L400" t="s">
        <v>37</v>
      </c>
      <c r="M400" t="s">
        <v>454</v>
      </c>
    </row>
    <row r="401" spans="1:13" x14ac:dyDescent="0.3">
      <c r="A401" t="s">
        <v>457</v>
      </c>
      <c r="B401" s="4">
        <v>45902</v>
      </c>
      <c r="C401" t="s">
        <v>39</v>
      </c>
      <c r="D401" t="s">
        <v>35</v>
      </c>
      <c r="E401" t="s">
        <v>47</v>
      </c>
      <c r="F401">
        <v>1</v>
      </c>
      <c r="G401" s="5">
        <v>239.34</v>
      </c>
      <c r="H401" s="6">
        <v>0.1</v>
      </c>
      <c r="I401" s="5">
        <v>215.41</v>
      </c>
      <c r="J401" s="5">
        <v>186.72</v>
      </c>
      <c r="K401" s="5">
        <v>28.69</v>
      </c>
      <c r="L401" t="s">
        <v>33</v>
      </c>
      <c r="M401" t="s">
        <v>454</v>
      </c>
    </row>
    <row r="402" spans="1:13" x14ac:dyDescent="0.3">
      <c r="A402" t="s">
        <v>458</v>
      </c>
      <c r="B402" s="4">
        <v>45903</v>
      </c>
      <c r="C402" t="s">
        <v>31</v>
      </c>
      <c r="D402" t="s">
        <v>26</v>
      </c>
      <c r="E402" t="s">
        <v>65</v>
      </c>
      <c r="F402">
        <v>4</v>
      </c>
      <c r="G402" s="5">
        <v>14.35</v>
      </c>
      <c r="H402" s="6">
        <v>0.05</v>
      </c>
      <c r="I402" s="5">
        <v>54.53</v>
      </c>
      <c r="J402" s="5">
        <v>42.82</v>
      </c>
      <c r="K402" s="5">
        <v>11.71</v>
      </c>
      <c r="L402" t="s">
        <v>37</v>
      </c>
      <c r="M402" t="s">
        <v>454</v>
      </c>
    </row>
    <row r="403" spans="1:13" x14ac:dyDescent="0.3">
      <c r="A403" t="s">
        <v>459</v>
      </c>
      <c r="B403" s="4">
        <v>45905</v>
      </c>
      <c r="C403" t="s">
        <v>39</v>
      </c>
      <c r="D403" t="s">
        <v>26</v>
      </c>
      <c r="E403" t="s">
        <v>32</v>
      </c>
      <c r="F403">
        <v>5</v>
      </c>
      <c r="G403" s="5">
        <v>11.15</v>
      </c>
      <c r="H403" s="6">
        <v>0.15</v>
      </c>
      <c r="I403" s="5">
        <v>47.39</v>
      </c>
      <c r="J403" s="5">
        <v>45.24</v>
      </c>
      <c r="K403" s="5">
        <v>2.15</v>
      </c>
      <c r="L403" t="s">
        <v>37</v>
      </c>
      <c r="M403" t="s">
        <v>454</v>
      </c>
    </row>
    <row r="404" spans="1:13" x14ac:dyDescent="0.3">
      <c r="A404" t="s">
        <v>460</v>
      </c>
      <c r="B404" s="4">
        <v>45905</v>
      </c>
      <c r="C404" t="s">
        <v>39</v>
      </c>
      <c r="D404" t="s">
        <v>42</v>
      </c>
      <c r="E404" t="s">
        <v>72</v>
      </c>
      <c r="F404">
        <v>2</v>
      </c>
      <c r="G404" s="5">
        <v>786.34</v>
      </c>
      <c r="H404" s="6">
        <v>0</v>
      </c>
      <c r="I404" s="5">
        <v>1572.68</v>
      </c>
      <c r="J404" s="5">
        <v>1272.6199999999999</v>
      </c>
      <c r="K404" s="5">
        <v>300.06</v>
      </c>
      <c r="L404" t="s">
        <v>33</v>
      </c>
      <c r="M404" t="s">
        <v>454</v>
      </c>
    </row>
    <row r="405" spans="1:13" x14ac:dyDescent="0.3">
      <c r="A405" t="s">
        <v>461</v>
      </c>
      <c r="B405" s="4">
        <v>45905</v>
      </c>
      <c r="C405" t="s">
        <v>31</v>
      </c>
      <c r="D405" t="s">
        <v>26</v>
      </c>
      <c r="E405" t="s">
        <v>27</v>
      </c>
      <c r="F405">
        <v>2</v>
      </c>
      <c r="G405" s="5">
        <v>18.71</v>
      </c>
      <c r="H405" s="6">
        <v>0.05</v>
      </c>
      <c r="I405" s="5">
        <v>35.549999999999997</v>
      </c>
      <c r="J405" s="5">
        <v>28.39</v>
      </c>
      <c r="K405" s="5">
        <v>7.16</v>
      </c>
      <c r="L405" t="s">
        <v>33</v>
      </c>
      <c r="M405" t="s">
        <v>454</v>
      </c>
    </row>
    <row r="406" spans="1:13" x14ac:dyDescent="0.3">
      <c r="A406" t="s">
        <v>462</v>
      </c>
      <c r="B406" s="4">
        <v>45906</v>
      </c>
      <c r="C406" t="s">
        <v>39</v>
      </c>
      <c r="D406" t="s">
        <v>26</v>
      </c>
      <c r="E406" t="s">
        <v>32</v>
      </c>
      <c r="F406">
        <v>7</v>
      </c>
      <c r="G406" s="5">
        <v>7.44</v>
      </c>
      <c r="H406" s="6">
        <v>0</v>
      </c>
      <c r="I406" s="5">
        <v>52.08</v>
      </c>
      <c r="J406" s="5">
        <v>39.44</v>
      </c>
      <c r="K406" s="5">
        <v>12.64</v>
      </c>
      <c r="L406" t="s">
        <v>37</v>
      </c>
      <c r="M406" t="s">
        <v>454</v>
      </c>
    </row>
    <row r="407" spans="1:13" x14ac:dyDescent="0.3">
      <c r="A407" t="s">
        <v>463</v>
      </c>
      <c r="B407" s="4">
        <v>45907</v>
      </c>
      <c r="C407" t="s">
        <v>51</v>
      </c>
      <c r="D407" t="s">
        <v>35</v>
      </c>
      <c r="E407" t="s">
        <v>47</v>
      </c>
      <c r="F407">
        <v>2</v>
      </c>
      <c r="G407" s="5">
        <v>153.16999999999999</v>
      </c>
      <c r="H407" s="6">
        <v>0.1</v>
      </c>
      <c r="I407" s="5">
        <v>275.70999999999998</v>
      </c>
      <c r="J407" s="5">
        <v>174.82</v>
      </c>
      <c r="K407" s="5">
        <v>100.89</v>
      </c>
      <c r="L407" t="s">
        <v>37</v>
      </c>
      <c r="M407" t="s">
        <v>454</v>
      </c>
    </row>
    <row r="408" spans="1:13" x14ac:dyDescent="0.3">
      <c r="A408" t="s">
        <v>464</v>
      </c>
      <c r="B408" s="4">
        <v>45907</v>
      </c>
      <c r="C408" t="s">
        <v>25</v>
      </c>
      <c r="D408" t="s">
        <v>26</v>
      </c>
      <c r="E408" t="s">
        <v>53</v>
      </c>
      <c r="F408">
        <v>2</v>
      </c>
      <c r="G408" s="5">
        <v>9.16</v>
      </c>
      <c r="H408" s="6">
        <v>0.1</v>
      </c>
      <c r="I408" s="5">
        <v>16.489999999999998</v>
      </c>
      <c r="J408" s="5">
        <v>13.67</v>
      </c>
      <c r="K408" s="5">
        <v>2.82</v>
      </c>
      <c r="L408" t="s">
        <v>33</v>
      </c>
      <c r="M408" t="s">
        <v>454</v>
      </c>
    </row>
    <row r="409" spans="1:13" x14ac:dyDescent="0.3">
      <c r="A409" t="s">
        <v>465</v>
      </c>
      <c r="B409" s="4">
        <v>45907</v>
      </c>
      <c r="C409" t="s">
        <v>31</v>
      </c>
      <c r="D409" t="s">
        <v>42</v>
      </c>
      <c r="E409" t="s">
        <v>72</v>
      </c>
      <c r="F409">
        <v>4</v>
      </c>
      <c r="G409" s="5">
        <v>1183.53</v>
      </c>
      <c r="H409" s="6">
        <v>0.05</v>
      </c>
      <c r="I409" s="5">
        <v>4497.41</v>
      </c>
      <c r="J409" s="5">
        <v>2647.68</v>
      </c>
      <c r="K409" s="5">
        <v>1849.73</v>
      </c>
      <c r="L409" t="s">
        <v>28</v>
      </c>
      <c r="M409" t="s">
        <v>454</v>
      </c>
    </row>
    <row r="410" spans="1:13" x14ac:dyDescent="0.3">
      <c r="A410" t="s">
        <v>466</v>
      </c>
      <c r="B410" s="4">
        <v>45908</v>
      </c>
      <c r="C410" t="s">
        <v>25</v>
      </c>
      <c r="D410" t="s">
        <v>26</v>
      </c>
      <c r="E410" t="s">
        <v>65</v>
      </c>
      <c r="F410">
        <v>6</v>
      </c>
      <c r="G410" s="5">
        <v>4.1900000000000004</v>
      </c>
      <c r="H410" s="6">
        <v>0.05</v>
      </c>
      <c r="I410" s="5">
        <v>23.88</v>
      </c>
      <c r="J410" s="5">
        <v>18.97</v>
      </c>
      <c r="K410" s="5">
        <v>4.91</v>
      </c>
      <c r="L410" t="s">
        <v>37</v>
      </c>
      <c r="M410" t="s">
        <v>454</v>
      </c>
    </row>
    <row r="411" spans="1:13" x14ac:dyDescent="0.3">
      <c r="A411" t="s">
        <v>467</v>
      </c>
      <c r="B411" s="4">
        <v>45909</v>
      </c>
      <c r="C411" t="s">
        <v>31</v>
      </c>
      <c r="D411" t="s">
        <v>35</v>
      </c>
      <c r="E411" t="s">
        <v>103</v>
      </c>
      <c r="F411">
        <v>1</v>
      </c>
      <c r="G411" s="5">
        <v>252.86</v>
      </c>
      <c r="H411" s="6">
        <v>0</v>
      </c>
      <c r="I411" s="5">
        <v>252.86</v>
      </c>
      <c r="J411" s="5">
        <v>183.26</v>
      </c>
      <c r="K411" s="5">
        <v>69.599999999999994</v>
      </c>
      <c r="L411" t="s">
        <v>33</v>
      </c>
      <c r="M411" t="s">
        <v>454</v>
      </c>
    </row>
    <row r="412" spans="1:13" x14ac:dyDescent="0.3">
      <c r="A412" t="s">
        <v>468</v>
      </c>
      <c r="B412" s="4">
        <v>45911</v>
      </c>
      <c r="C412" t="s">
        <v>31</v>
      </c>
      <c r="D412" t="s">
        <v>26</v>
      </c>
      <c r="E412" t="s">
        <v>53</v>
      </c>
      <c r="F412">
        <v>8</v>
      </c>
      <c r="G412" s="5">
        <v>5.75</v>
      </c>
      <c r="H412" s="6">
        <v>0.05</v>
      </c>
      <c r="I412" s="5">
        <v>43.7</v>
      </c>
      <c r="J412" s="5">
        <v>27.48</v>
      </c>
      <c r="K412" s="5">
        <v>16.22</v>
      </c>
      <c r="L412" t="s">
        <v>28</v>
      </c>
      <c r="M412" t="s">
        <v>454</v>
      </c>
    </row>
    <row r="413" spans="1:13" x14ac:dyDescent="0.3">
      <c r="A413" t="s">
        <v>469</v>
      </c>
      <c r="B413" s="4">
        <v>45912</v>
      </c>
      <c r="C413" t="s">
        <v>31</v>
      </c>
      <c r="D413" t="s">
        <v>26</v>
      </c>
      <c r="E413" t="s">
        <v>32</v>
      </c>
      <c r="F413">
        <v>3</v>
      </c>
      <c r="G413" s="5">
        <v>8.91</v>
      </c>
      <c r="H413" s="6">
        <v>0.15</v>
      </c>
      <c r="I413" s="5">
        <v>22.72</v>
      </c>
      <c r="J413" s="5">
        <v>16.93</v>
      </c>
      <c r="K413" s="5">
        <v>5.79</v>
      </c>
      <c r="L413" t="s">
        <v>37</v>
      </c>
      <c r="M413" t="s">
        <v>454</v>
      </c>
    </row>
    <row r="414" spans="1:13" x14ac:dyDescent="0.3">
      <c r="A414" t="s">
        <v>470</v>
      </c>
      <c r="B414" s="4">
        <v>45912</v>
      </c>
      <c r="C414" t="s">
        <v>25</v>
      </c>
      <c r="D414" t="s">
        <v>42</v>
      </c>
      <c r="E414" t="s">
        <v>62</v>
      </c>
      <c r="F414">
        <v>4</v>
      </c>
      <c r="G414" s="5">
        <v>74.36</v>
      </c>
      <c r="H414" s="6">
        <v>0</v>
      </c>
      <c r="I414" s="5">
        <v>297.44</v>
      </c>
      <c r="J414" s="5">
        <v>163.52000000000001</v>
      </c>
      <c r="K414" s="5">
        <v>133.91999999999999</v>
      </c>
      <c r="L414" t="s">
        <v>28</v>
      </c>
      <c r="M414" t="s">
        <v>454</v>
      </c>
    </row>
    <row r="415" spans="1:13" x14ac:dyDescent="0.3">
      <c r="A415" t="s">
        <v>471</v>
      </c>
      <c r="B415" s="4">
        <v>45912</v>
      </c>
      <c r="C415" t="s">
        <v>39</v>
      </c>
      <c r="D415" t="s">
        <v>42</v>
      </c>
      <c r="E415" t="s">
        <v>97</v>
      </c>
      <c r="F415">
        <v>2</v>
      </c>
      <c r="G415" s="5">
        <v>47.12</v>
      </c>
      <c r="H415" s="6">
        <v>0.15</v>
      </c>
      <c r="I415" s="5">
        <v>80.099999999999994</v>
      </c>
      <c r="J415" s="5">
        <v>56.3</v>
      </c>
      <c r="K415" s="5">
        <v>23.8</v>
      </c>
      <c r="L415" t="s">
        <v>28</v>
      </c>
      <c r="M415" t="s">
        <v>454</v>
      </c>
    </row>
    <row r="416" spans="1:13" x14ac:dyDescent="0.3">
      <c r="A416" t="s">
        <v>472</v>
      </c>
      <c r="B416" s="4">
        <v>45913</v>
      </c>
      <c r="C416" t="s">
        <v>39</v>
      </c>
      <c r="D416" t="s">
        <v>26</v>
      </c>
      <c r="E416" t="s">
        <v>27</v>
      </c>
      <c r="F416">
        <v>3</v>
      </c>
      <c r="G416" s="5">
        <v>28.19</v>
      </c>
      <c r="H416" s="6">
        <v>0</v>
      </c>
      <c r="I416" s="5">
        <v>84.57</v>
      </c>
      <c r="J416" s="5">
        <v>44.98</v>
      </c>
      <c r="K416" s="5">
        <v>39.590000000000003</v>
      </c>
      <c r="L416" t="s">
        <v>28</v>
      </c>
      <c r="M416" t="s">
        <v>454</v>
      </c>
    </row>
    <row r="417" spans="1:13" x14ac:dyDescent="0.3">
      <c r="A417" t="s">
        <v>473</v>
      </c>
      <c r="B417" s="4">
        <v>45913</v>
      </c>
      <c r="C417" t="s">
        <v>39</v>
      </c>
      <c r="D417" t="s">
        <v>35</v>
      </c>
      <c r="E417" t="s">
        <v>36</v>
      </c>
      <c r="F417">
        <v>6</v>
      </c>
      <c r="G417" s="5">
        <v>175.2</v>
      </c>
      <c r="H417" s="6">
        <v>0.15</v>
      </c>
      <c r="I417" s="5">
        <v>893.52</v>
      </c>
      <c r="J417" s="5">
        <v>655.30999999999995</v>
      </c>
      <c r="K417" s="5">
        <v>238.21</v>
      </c>
      <c r="L417" t="s">
        <v>28</v>
      </c>
      <c r="M417" t="s">
        <v>454</v>
      </c>
    </row>
    <row r="418" spans="1:13" x14ac:dyDescent="0.3">
      <c r="A418" t="s">
        <v>474</v>
      </c>
      <c r="B418" s="4">
        <v>45913</v>
      </c>
      <c r="C418" t="s">
        <v>39</v>
      </c>
      <c r="D418" t="s">
        <v>42</v>
      </c>
      <c r="E418" t="s">
        <v>59</v>
      </c>
      <c r="F418">
        <v>1</v>
      </c>
      <c r="G418" s="5">
        <v>382.04</v>
      </c>
      <c r="H418" s="6">
        <v>0.15</v>
      </c>
      <c r="I418" s="5">
        <v>324.73</v>
      </c>
      <c r="J418" s="5">
        <v>212.13</v>
      </c>
      <c r="K418" s="5">
        <v>112.6</v>
      </c>
      <c r="L418" t="s">
        <v>28</v>
      </c>
      <c r="M418" t="s">
        <v>454</v>
      </c>
    </row>
    <row r="419" spans="1:13" x14ac:dyDescent="0.3">
      <c r="A419" t="s">
        <v>475</v>
      </c>
      <c r="B419" s="4">
        <v>45914</v>
      </c>
      <c r="C419" t="s">
        <v>31</v>
      </c>
      <c r="D419" t="s">
        <v>42</v>
      </c>
      <c r="E419" t="s">
        <v>72</v>
      </c>
      <c r="F419">
        <v>6</v>
      </c>
      <c r="G419" s="5">
        <v>539.01</v>
      </c>
      <c r="H419" s="6">
        <v>0.15</v>
      </c>
      <c r="I419" s="5">
        <v>2748.95</v>
      </c>
      <c r="J419" s="5">
        <v>2549.79</v>
      </c>
      <c r="K419" s="5">
        <v>199.16</v>
      </c>
      <c r="L419" t="s">
        <v>28</v>
      </c>
      <c r="M419" t="s">
        <v>454</v>
      </c>
    </row>
    <row r="420" spans="1:13" x14ac:dyDescent="0.3">
      <c r="A420" t="s">
        <v>476</v>
      </c>
      <c r="B420" s="4">
        <v>45915</v>
      </c>
      <c r="C420" t="s">
        <v>51</v>
      </c>
      <c r="D420" t="s">
        <v>35</v>
      </c>
      <c r="E420" t="s">
        <v>47</v>
      </c>
      <c r="F420">
        <v>8</v>
      </c>
      <c r="G420" s="5">
        <v>158.94999999999999</v>
      </c>
      <c r="H420" s="6">
        <v>0.1</v>
      </c>
      <c r="I420" s="5">
        <v>1144.44</v>
      </c>
      <c r="J420" s="5">
        <v>919.86</v>
      </c>
      <c r="K420" s="5">
        <v>224.58</v>
      </c>
      <c r="L420" t="s">
        <v>33</v>
      </c>
      <c r="M420" t="s">
        <v>454</v>
      </c>
    </row>
    <row r="421" spans="1:13" x14ac:dyDescent="0.3">
      <c r="A421" t="s">
        <v>477</v>
      </c>
      <c r="B421" s="4">
        <v>45916</v>
      </c>
      <c r="C421" t="s">
        <v>39</v>
      </c>
      <c r="D421" t="s">
        <v>35</v>
      </c>
      <c r="E421" t="s">
        <v>45</v>
      </c>
      <c r="F421">
        <v>1</v>
      </c>
      <c r="G421" s="5">
        <v>583.27</v>
      </c>
      <c r="H421" s="6">
        <v>0.1</v>
      </c>
      <c r="I421" s="5">
        <v>524.94000000000005</v>
      </c>
      <c r="J421" s="5">
        <v>376.04</v>
      </c>
      <c r="K421" s="5">
        <v>148.9</v>
      </c>
      <c r="L421" t="s">
        <v>37</v>
      </c>
      <c r="M421" t="s">
        <v>454</v>
      </c>
    </row>
    <row r="422" spans="1:13" x14ac:dyDescent="0.3">
      <c r="A422" t="s">
        <v>478</v>
      </c>
      <c r="B422" s="4">
        <v>45919</v>
      </c>
      <c r="C422" t="s">
        <v>25</v>
      </c>
      <c r="D422" t="s">
        <v>42</v>
      </c>
      <c r="E422" t="s">
        <v>62</v>
      </c>
      <c r="F422">
        <v>8</v>
      </c>
      <c r="G422" s="5">
        <v>66.150000000000006</v>
      </c>
      <c r="H422" s="6">
        <v>0.15</v>
      </c>
      <c r="I422" s="5">
        <v>449.82</v>
      </c>
      <c r="J422" s="5">
        <v>302.23</v>
      </c>
      <c r="K422" s="5">
        <v>147.59</v>
      </c>
      <c r="L422" t="s">
        <v>33</v>
      </c>
      <c r="M422" t="s">
        <v>454</v>
      </c>
    </row>
    <row r="423" spans="1:13" x14ac:dyDescent="0.3">
      <c r="A423" t="s">
        <v>479</v>
      </c>
      <c r="B423" s="4">
        <v>45919</v>
      </c>
      <c r="C423" t="s">
        <v>39</v>
      </c>
      <c r="D423" t="s">
        <v>42</v>
      </c>
      <c r="E423" t="s">
        <v>72</v>
      </c>
      <c r="F423">
        <v>3</v>
      </c>
      <c r="G423" s="5">
        <v>475.63</v>
      </c>
      <c r="H423" s="6">
        <v>0.1</v>
      </c>
      <c r="I423" s="5">
        <v>1284.2</v>
      </c>
      <c r="J423" s="5">
        <v>1084.0999999999999</v>
      </c>
      <c r="K423" s="5">
        <v>200.1</v>
      </c>
      <c r="L423" t="s">
        <v>37</v>
      </c>
      <c r="M423" t="s">
        <v>454</v>
      </c>
    </row>
    <row r="424" spans="1:13" x14ac:dyDescent="0.3">
      <c r="A424" t="s">
        <v>480</v>
      </c>
      <c r="B424" s="4">
        <v>45919</v>
      </c>
      <c r="C424" t="s">
        <v>51</v>
      </c>
      <c r="D424" t="s">
        <v>26</v>
      </c>
      <c r="E424" t="s">
        <v>65</v>
      </c>
      <c r="F424">
        <v>3</v>
      </c>
      <c r="G424" s="5">
        <v>4.21</v>
      </c>
      <c r="H424" s="6">
        <v>0.05</v>
      </c>
      <c r="I424" s="5">
        <v>12</v>
      </c>
      <c r="J424" s="5">
        <v>9.42</v>
      </c>
      <c r="K424" s="5">
        <v>2.58</v>
      </c>
      <c r="L424" t="s">
        <v>28</v>
      </c>
      <c r="M424" t="s">
        <v>454</v>
      </c>
    </row>
    <row r="425" spans="1:13" x14ac:dyDescent="0.3">
      <c r="A425" t="s">
        <v>481</v>
      </c>
      <c r="B425" s="4">
        <v>45919</v>
      </c>
      <c r="C425" t="s">
        <v>51</v>
      </c>
      <c r="D425" t="s">
        <v>35</v>
      </c>
      <c r="E425" t="s">
        <v>36</v>
      </c>
      <c r="F425">
        <v>2</v>
      </c>
      <c r="G425" s="5">
        <v>78.680000000000007</v>
      </c>
      <c r="H425" s="6">
        <v>0</v>
      </c>
      <c r="I425" s="5">
        <v>157.36000000000001</v>
      </c>
      <c r="J425" s="5">
        <v>115.88</v>
      </c>
      <c r="K425" s="5">
        <v>41.48</v>
      </c>
      <c r="L425" t="s">
        <v>33</v>
      </c>
      <c r="M425" t="s">
        <v>454</v>
      </c>
    </row>
    <row r="426" spans="1:13" x14ac:dyDescent="0.3">
      <c r="A426" t="s">
        <v>482</v>
      </c>
      <c r="B426" s="4">
        <v>45920</v>
      </c>
      <c r="C426" t="s">
        <v>25</v>
      </c>
      <c r="D426" t="s">
        <v>26</v>
      </c>
      <c r="E426" t="s">
        <v>32</v>
      </c>
      <c r="F426">
        <v>8</v>
      </c>
      <c r="G426" s="5">
        <v>10.59</v>
      </c>
      <c r="H426" s="6">
        <v>0.15</v>
      </c>
      <c r="I426" s="5">
        <v>72.010000000000005</v>
      </c>
      <c r="J426" s="5">
        <v>60.67</v>
      </c>
      <c r="K426" s="5">
        <v>11.34</v>
      </c>
      <c r="L426" t="s">
        <v>33</v>
      </c>
      <c r="M426" t="s">
        <v>454</v>
      </c>
    </row>
    <row r="427" spans="1:13" x14ac:dyDescent="0.3">
      <c r="A427" t="s">
        <v>483</v>
      </c>
      <c r="B427" s="4">
        <v>45920</v>
      </c>
      <c r="C427" t="s">
        <v>39</v>
      </c>
      <c r="D427" t="s">
        <v>26</v>
      </c>
      <c r="E427" t="s">
        <v>27</v>
      </c>
      <c r="F427">
        <v>3</v>
      </c>
      <c r="G427" s="5">
        <v>15.73</v>
      </c>
      <c r="H427" s="6">
        <v>0.1</v>
      </c>
      <c r="I427" s="5">
        <v>42.47</v>
      </c>
      <c r="J427" s="5">
        <v>38.51</v>
      </c>
      <c r="K427" s="5">
        <v>3.96</v>
      </c>
      <c r="L427" t="s">
        <v>28</v>
      </c>
      <c r="M427" t="s">
        <v>454</v>
      </c>
    </row>
    <row r="428" spans="1:13" x14ac:dyDescent="0.3">
      <c r="A428" t="s">
        <v>484</v>
      </c>
      <c r="B428" s="4">
        <v>45921</v>
      </c>
      <c r="C428" t="s">
        <v>25</v>
      </c>
      <c r="D428" t="s">
        <v>26</v>
      </c>
      <c r="E428" t="s">
        <v>27</v>
      </c>
      <c r="F428">
        <v>1</v>
      </c>
      <c r="G428" s="5">
        <v>26.49</v>
      </c>
      <c r="H428" s="6">
        <v>0.05</v>
      </c>
      <c r="I428" s="5">
        <v>25.17</v>
      </c>
      <c r="J428" s="5">
        <v>20.54</v>
      </c>
      <c r="K428" s="5">
        <v>4.63</v>
      </c>
      <c r="L428" t="s">
        <v>28</v>
      </c>
      <c r="M428" t="s">
        <v>454</v>
      </c>
    </row>
    <row r="429" spans="1:13" x14ac:dyDescent="0.3">
      <c r="A429" t="s">
        <v>485</v>
      </c>
      <c r="B429" s="4">
        <v>45921</v>
      </c>
      <c r="C429" t="s">
        <v>25</v>
      </c>
      <c r="D429" t="s">
        <v>26</v>
      </c>
      <c r="E429" t="s">
        <v>53</v>
      </c>
      <c r="F429">
        <v>2</v>
      </c>
      <c r="G429" s="5">
        <v>6.19</v>
      </c>
      <c r="H429" s="6">
        <v>0.2</v>
      </c>
      <c r="I429" s="5">
        <v>9.9</v>
      </c>
      <c r="J429" s="5">
        <v>8.1300000000000008</v>
      </c>
      <c r="K429" s="5">
        <v>1.77</v>
      </c>
      <c r="L429" t="s">
        <v>28</v>
      </c>
      <c r="M429" t="s">
        <v>454</v>
      </c>
    </row>
    <row r="430" spans="1:13" x14ac:dyDescent="0.3">
      <c r="A430" t="s">
        <v>486</v>
      </c>
      <c r="B430" s="4">
        <v>45922</v>
      </c>
      <c r="C430" t="s">
        <v>39</v>
      </c>
      <c r="D430" t="s">
        <v>26</v>
      </c>
      <c r="E430" t="s">
        <v>65</v>
      </c>
      <c r="F430">
        <v>8</v>
      </c>
      <c r="G430" s="5">
        <v>13.11</v>
      </c>
      <c r="H430" s="6">
        <v>0.1</v>
      </c>
      <c r="I430" s="5">
        <v>94.39</v>
      </c>
      <c r="J430" s="5">
        <v>76.87</v>
      </c>
      <c r="K430" s="5">
        <v>17.52</v>
      </c>
      <c r="L430" t="s">
        <v>37</v>
      </c>
      <c r="M430" t="s">
        <v>454</v>
      </c>
    </row>
    <row r="431" spans="1:13" x14ac:dyDescent="0.3">
      <c r="A431" t="s">
        <v>487</v>
      </c>
      <c r="B431" s="4">
        <v>45923</v>
      </c>
      <c r="C431" t="s">
        <v>39</v>
      </c>
      <c r="D431" t="s">
        <v>42</v>
      </c>
      <c r="E431" t="s">
        <v>62</v>
      </c>
      <c r="F431">
        <v>3</v>
      </c>
      <c r="G431" s="5">
        <v>43.08</v>
      </c>
      <c r="H431" s="6">
        <v>0</v>
      </c>
      <c r="I431" s="5">
        <v>129.24</v>
      </c>
      <c r="J431" s="5">
        <v>70.400000000000006</v>
      </c>
      <c r="K431" s="5">
        <v>58.84</v>
      </c>
      <c r="L431" t="s">
        <v>37</v>
      </c>
      <c r="M431" t="s">
        <v>454</v>
      </c>
    </row>
    <row r="432" spans="1:13" x14ac:dyDescent="0.3">
      <c r="A432" t="s">
        <v>488</v>
      </c>
      <c r="B432" s="4">
        <v>45924</v>
      </c>
      <c r="C432" t="s">
        <v>25</v>
      </c>
      <c r="D432" t="s">
        <v>42</v>
      </c>
      <c r="E432" t="s">
        <v>59</v>
      </c>
      <c r="F432">
        <v>2</v>
      </c>
      <c r="G432" s="5">
        <v>380.91</v>
      </c>
      <c r="H432" s="6">
        <v>0.1</v>
      </c>
      <c r="I432" s="5">
        <v>685.64</v>
      </c>
      <c r="J432" s="5">
        <v>492.71</v>
      </c>
      <c r="K432" s="5">
        <v>192.93</v>
      </c>
      <c r="L432" t="s">
        <v>33</v>
      </c>
      <c r="M432" t="s">
        <v>454</v>
      </c>
    </row>
    <row r="433" spans="1:13" x14ac:dyDescent="0.3">
      <c r="A433" t="s">
        <v>489</v>
      </c>
      <c r="B433" s="4">
        <v>45926</v>
      </c>
      <c r="C433" t="s">
        <v>31</v>
      </c>
      <c r="D433" t="s">
        <v>35</v>
      </c>
      <c r="E433" t="s">
        <v>36</v>
      </c>
      <c r="F433">
        <v>5</v>
      </c>
      <c r="G433" s="5">
        <v>175.96</v>
      </c>
      <c r="H433" s="6">
        <v>0.2</v>
      </c>
      <c r="I433" s="5">
        <v>703.84</v>
      </c>
      <c r="J433" s="5">
        <v>480.84</v>
      </c>
      <c r="K433" s="5">
        <v>223</v>
      </c>
      <c r="L433" t="s">
        <v>37</v>
      </c>
      <c r="M433" t="s">
        <v>454</v>
      </c>
    </row>
    <row r="434" spans="1:13" x14ac:dyDescent="0.3">
      <c r="A434" t="s">
        <v>490</v>
      </c>
      <c r="B434" s="4">
        <v>45926</v>
      </c>
      <c r="C434" t="s">
        <v>39</v>
      </c>
      <c r="D434" t="s">
        <v>26</v>
      </c>
      <c r="E434" t="s">
        <v>53</v>
      </c>
      <c r="F434">
        <v>1</v>
      </c>
      <c r="G434" s="5">
        <v>21.9</v>
      </c>
      <c r="H434" s="6">
        <v>0.1</v>
      </c>
      <c r="I434" s="5">
        <v>19.71</v>
      </c>
      <c r="J434" s="5">
        <v>16.77</v>
      </c>
      <c r="K434" s="5">
        <v>2.94</v>
      </c>
      <c r="L434" t="s">
        <v>33</v>
      </c>
      <c r="M434" t="s">
        <v>454</v>
      </c>
    </row>
    <row r="435" spans="1:13" x14ac:dyDescent="0.3">
      <c r="A435" t="s">
        <v>491</v>
      </c>
      <c r="B435" s="4">
        <v>45926</v>
      </c>
      <c r="C435" t="s">
        <v>39</v>
      </c>
      <c r="D435" t="s">
        <v>42</v>
      </c>
      <c r="E435" t="s">
        <v>43</v>
      </c>
      <c r="F435">
        <v>4</v>
      </c>
      <c r="G435" s="5">
        <v>161.31</v>
      </c>
      <c r="H435" s="6">
        <v>0</v>
      </c>
      <c r="I435" s="5">
        <v>645.24</v>
      </c>
      <c r="J435" s="5">
        <v>508.53</v>
      </c>
      <c r="K435" s="5">
        <v>136.71</v>
      </c>
      <c r="L435" t="s">
        <v>33</v>
      </c>
      <c r="M435" t="s">
        <v>454</v>
      </c>
    </row>
    <row r="436" spans="1:13" x14ac:dyDescent="0.3">
      <c r="A436" t="s">
        <v>492</v>
      </c>
      <c r="B436" s="4">
        <v>45926</v>
      </c>
      <c r="C436" t="s">
        <v>31</v>
      </c>
      <c r="D436" t="s">
        <v>42</v>
      </c>
      <c r="E436" t="s">
        <v>62</v>
      </c>
      <c r="F436">
        <v>5</v>
      </c>
      <c r="G436" s="5">
        <v>74.739999999999995</v>
      </c>
      <c r="H436" s="6">
        <v>0</v>
      </c>
      <c r="I436" s="5">
        <v>373.7</v>
      </c>
      <c r="J436" s="5">
        <v>211.49</v>
      </c>
      <c r="K436" s="5">
        <v>162.21</v>
      </c>
      <c r="L436" t="s">
        <v>37</v>
      </c>
      <c r="M436" t="s">
        <v>454</v>
      </c>
    </row>
    <row r="437" spans="1:13" x14ac:dyDescent="0.3">
      <c r="A437" t="s">
        <v>493</v>
      </c>
      <c r="B437" s="4">
        <v>45927</v>
      </c>
      <c r="C437" t="s">
        <v>25</v>
      </c>
      <c r="D437" t="s">
        <v>26</v>
      </c>
      <c r="E437" t="s">
        <v>53</v>
      </c>
      <c r="F437">
        <v>1</v>
      </c>
      <c r="G437" s="5">
        <v>19.489999999999998</v>
      </c>
      <c r="H437" s="6">
        <v>0</v>
      </c>
      <c r="I437" s="5">
        <v>19.489999999999998</v>
      </c>
      <c r="J437" s="5">
        <v>10.64</v>
      </c>
      <c r="K437" s="5">
        <v>8.85</v>
      </c>
      <c r="L437" t="s">
        <v>33</v>
      </c>
      <c r="M437" t="s">
        <v>454</v>
      </c>
    </row>
    <row r="438" spans="1:13" x14ac:dyDescent="0.3">
      <c r="A438" t="s">
        <v>494</v>
      </c>
      <c r="B438" s="4">
        <v>45927</v>
      </c>
      <c r="C438" t="s">
        <v>31</v>
      </c>
      <c r="D438" t="s">
        <v>26</v>
      </c>
      <c r="E438" t="s">
        <v>32</v>
      </c>
      <c r="F438">
        <v>1</v>
      </c>
      <c r="G438" s="5">
        <v>5.6</v>
      </c>
      <c r="H438" s="6">
        <v>0.2</v>
      </c>
      <c r="I438" s="5">
        <v>4.4800000000000004</v>
      </c>
      <c r="J438" s="5">
        <v>3.02</v>
      </c>
      <c r="K438" s="5">
        <v>1.46</v>
      </c>
      <c r="L438" t="s">
        <v>28</v>
      </c>
      <c r="M438" t="s">
        <v>454</v>
      </c>
    </row>
    <row r="439" spans="1:13" x14ac:dyDescent="0.3">
      <c r="A439" t="s">
        <v>495</v>
      </c>
      <c r="B439" s="4">
        <v>45929</v>
      </c>
      <c r="C439" t="s">
        <v>31</v>
      </c>
      <c r="D439" t="s">
        <v>26</v>
      </c>
      <c r="E439" t="s">
        <v>68</v>
      </c>
      <c r="F439">
        <v>5</v>
      </c>
      <c r="G439" s="5">
        <v>3.83</v>
      </c>
      <c r="H439" s="6">
        <v>0</v>
      </c>
      <c r="I439" s="5">
        <v>19.149999999999999</v>
      </c>
      <c r="J439" s="5">
        <v>13.71</v>
      </c>
      <c r="K439" s="5">
        <v>5.44</v>
      </c>
      <c r="L439" t="s">
        <v>28</v>
      </c>
      <c r="M439" t="s">
        <v>454</v>
      </c>
    </row>
    <row r="440" spans="1:13" x14ac:dyDescent="0.3">
      <c r="A440" t="s">
        <v>496</v>
      </c>
      <c r="B440" s="4">
        <v>45929</v>
      </c>
      <c r="C440" t="s">
        <v>25</v>
      </c>
      <c r="D440" t="s">
        <v>26</v>
      </c>
      <c r="E440" t="s">
        <v>53</v>
      </c>
      <c r="F440">
        <v>1</v>
      </c>
      <c r="G440" s="5">
        <v>13.17</v>
      </c>
      <c r="H440" s="6">
        <v>0.2</v>
      </c>
      <c r="I440" s="5">
        <v>10.54</v>
      </c>
      <c r="J440" s="5">
        <v>8.77</v>
      </c>
      <c r="K440" s="5">
        <v>1.77</v>
      </c>
      <c r="L440" t="s">
        <v>37</v>
      </c>
      <c r="M440" t="s">
        <v>454</v>
      </c>
    </row>
    <row r="441" spans="1:13" x14ac:dyDescent="0.3">
      <c r="A441" t="s">
        <v>497</v>
      </c>
      <c r="B441" s="4">
        <v>45930</v>
      </c>
      <c r="C441" t="s">
        <v>31</v>
      </c>
      <c r="D441" t="s">
        <v>35</v>
      </c>
      <c r="E441" t="s">
        <v>103</v>
      </c>
      <c r="F441">
        <v>8</v>
      </c>
      <c r="G441" s="5">
        <v>201.22</v>
      </c>
      <c r="H441" s="6">
        <v>0</v>
      </c>
      <c r="I441" s="5">
        <v>1609.76</v>
      </c>
      <c r="J441" s="5">
        <v>1148.5</v>
      </c>
      <c r="K441" s="5">
        <v>461.26</v>
      </c>
      <c r="L441" t="s">
        <v>37</v>
      </c>
      <c r="M441" t="s">
        <v>454</v>
      </c>
    </row>
    <row r="442" spans="1:13" x14ac:dyDescent="0.3">
      <c r="A442" t="s">
        <v>498</v>
      </c>
      <c r="B442" s="4">
        <v>45930</v>
      </c>
      <c r="C442" t="s">
        <v>25</v>
      </c>
      <c r="D442" t="s">
        <v>35</v>
      </c>
      <c r="E442" t="s">
        <v>103</v>
      </c>
      <c r="F442">
        <v>4</v>
      </c>
      <c r="G442" s="5">
        <v>213.31</v>
      </c>
      <c r="H442" s="6">
        <v>0.05</v>
      </c>
      <c r="I442" s="5">
        <v>810.58</v>
      </c>
      <c r="J442" s="5">
        <v>541.97</v>
      </c>
      <c r="K442" s="5">
        <v>268.61</v>
      </c>
      <c r="L442" t="s">
        <v>28</v>
      </c>
      <c r="M442" t="s">
        <v>454</v>
      </c>
    </row>
    <row r="443" spans="1:13" x14ac:dyDescent="0.3">
      <c r="A443" t="s">
        <v>499</v>
      </c>
      <c r="B443" s="4">
        <v>45930</v>
      </c>
      <c r="C443" t="s">
        <v>51</v>
      </c>
      <c r="D443" t="s">
        <v>26</v>
      </c>
      <c r="E443" t="s">
        <v>68</v>
      </c>
      <c r="F443">
        <v>3</v>
      </c>
      <c r="G443" s="5">
        <v>3.57</v>
      </c>
      <c r="H443" s="6">
        <v>0</v>
      </c>
      <c r="I443" s="5">
        <v>10.71</v>
      </c>
      <c r="J443" s="5">
        <v>6.37</v>
      </c>
      <c r="K443" s="5">
        <v>4.34</v>
      </c>
      <c r="L443" t="s">
        <v>33</v>
      </c>
      <c r="M443" t="s">
        <v>454</v>
      </c>
    </row>
    <row r="444" spans="1:13" x14ac:dyDescent="0.3">
      <c r="A444" t="s">
        <v>500</v>
      </c>
      <c r="B444" s="4">
        <v>45931</v>
      </c>
      <c r="C444" t="s">
        <v>51</v>
      </c>
      <c r="D444" t="s">
        <v>35</v>
      </c>
      <c r="E444" t="s">
        <v>36</v>
      </c>
      <c r="F444">
        <v>5</v>
      </c>
      <c r="G444" s="5">
        <v>173.38</v>
      </c>
      <c r="H444" s="6">
        <v>0.05</v>
      </c>
      <c r="I444" s="5">
        <v>823.55</v>
      </c>
      <c r="J444" s="5">
        <v>690.91</v>
      </c>
      <c r="K444" s="5">
        <v>132.63999999999999</v>
      </c>
      <c r="L444" t="s">
        <v>28</v>
      </c>
      <c r="M444" t="s">
        <v>501</v>
      </c>
    </row>
    <row r="445" spans="1:13" x14ac:dyDescent="0.3">
      <c r="A445" t="s">
        <v>502</v>
      </c>
      <c r="B445" s="4">
        <v>45931</v>
      </c>
      <c r="C445" t="s">
        <v>31</v>
      </c>
      <c r="D445" t="s">
        <v>42</v>
      </c>
      <c r="E445" t="s">
        <v>43</v>
      </c>
      <c r="F445">
        <v>1</v>
      </c>
      <c r="G445" s="5">
        <v>128.02000000000001</v>
      </c>
      <c r="H445" s="6">
        <v>0</v>
      </c>
      <c r="I445" s="5">
        <v>128.02000000000001</v>
      </c>
      <c r="J445" s="5">
        <v>77.16</v>
      </c>
      <c r="K445" s="5">
        <v>50.86</v>
      </c>
      <c r="L445" t="s">
        <v>28</v>
      </c>
      <c r="M445" t="s">
        <v>501</v>
      </c>
    </row>
    <row r="446" spans="1:13" x14ac:dyDescent="0.3">
      <c r="A446" t="s">
        <v>503</v>
      </c>
      <c r="B446" s="4">
        <v>45932</v>
      </c>
      <c r="C446" t="s">
        <v>39</v>
      </c>
      <c r="D446" t="s">
        <v>42</v>
      </c>
      <c r="E446" t="s">
        <v>62</v>
      </c>
      <c r="F446">
        <v>3</v>
      </c>
      <c r="G446" s="5">
        <v>38.57</v>
      </c>
      <c r="H446" s="6">
        <v>0.1</v>
      </c>
      <c r="I446" s="5">
        <v>104.14</v>
      </c>
      <c r="J446" s="5">
        <v>87.48</v>
      </c>
      <c r="K446" s="5">
        <v>16.66</v>
      </c>
      <c r="L446" t="s">
        <v>33</v>
      </c>
      <c r="M446" t="s">
        <v>501</v>
      </c>
    </row>
    <row r="447" spans="1:13" x14ac:dyDescent="0.3">
      <c r="A447" t="s">
        <v>504</v>
      </c>
      <c r="B447" s="4">
        <v>45934</v>
      </c>
      <c r="C447" t="s">
        <v>31</v>
      </c>
      <c r="D447" t="s">
        <v>26</v>
      </c>
      <c r="E447" t="s">
        <v>32</v>
      </c>
      <c r="F447">
        <v>2</v>
      </c>
      <c r="G447" s="5">
        <v>11.01</v>
      </c>
      <c r="H447" s="6">
        <v>0.1</v>
      </c>
      <c r="I447" s="5">
        <v>19.82</v>
      </c>
      <c r="J447" s="5">
        <v>13.95</v>
      </c>
      <c r="K447" s="5">
        <v>5.87</v>
      </c>
      <c r="L447" t="s">
        <v>37</v>
      </c>
      <c r="M447" t="s">
        <v>501</v>
      </c>
    </row>
    <row r="448" spans="1:13" x14ac:dyDescent="0.3">
      <c r="A448" t="s">
        <v>505</v>
      </c>
      <c r="B448" s="4">
        <v>45934</v>
      </c>
      <c r="C448" t="s">
        <v>39</v>
      </c>
      <c r="D448" t="s">
        <v>26</v>
      </c>
      <c r="E448" t="s">
        <v>65</v>
      </c>
      <c r="F448">
        <v>6</v>
      </c>
      <c r="G448" s="5">
        <v>15</v>
      </c>
      <c r="H448" s="6">
        <v>0</v>
      </c>
      <c r="I448" s="5">
        <v>90</v>
      </c>
      <c r="J448" s="5">
        <v>71.180000000000007</v>
      </c>
      <c r="K448" s="5">
        <v>18.82</v>
      </c>
      <c r="L448" t="s">
        <v>28</v>
      </c>
      <c r="M448" t="s">
        <v>501</v>
      </c>
    </row>
    <row r="449" spans="1:13" x14ac:dyDescent="0.3">
      <c r="A449" t="s">
        <v>506</v>
      </c>
      <c r="B449" s="4">
        <v>45934</v>
      </c>
      <c r="C449" t="s">
        <v>31</v>
      </c>
      <c r="D449" t="s">
        <v>35</v>
      </c>
      <c r="E449" t="s">
        <v>36</v>
      </c>
      <c r="F449">
        <v>4</v>
      </c>
      <c r="G449" s="5">
        <v>173.65</v>
      </c>
      <c r="H449" s="6">
        <v>0.15</v>
      </c>
      <c r="I449" s="5">
        <v>590.41</v>
      </c>
      <c r="J449" s="5">
        <v>568.53</v>
      </c>
      <c r="K449" s="5">
        <v>21.88</v>
      </c>
      <c r="L449" t="s">
        <v>33</v>
      </c>
      <c r="M449" t="s">
        <v>501</v>
      </c>
    </row>
    <row r="450" spans="1:13" x14ac:dyDescent="0.3">
      <c r="A450" t="s">
        <v>507</v>
      </c>
      <c r="B450" s="4">
        <v>45935</v>
      </c>
      <c r="C450" t="s">
        <v>51</v>
      </c>
      <c r="D450" t="s">
        <v>35</v>
      </c>
      <c r="E450" t="s">
        <v>40</v>
      </c>
      <c r="F450">
        <v>4</v>
      </c>
      <c r="G450" s="5">
        <v>113.34</v>
      </c>
      <c r="H450" s="6">
        <v>0</v>
      </c>
      <c r="I450" s="5">
        <v>453.36</v>
      </c>
      <c r="J450" s="5">
        <v>341.82</v>
      </c>
      <c r="K450" s="5">
        <v>111.54</v>
      </c>
      <c r="L450" t="s">
        <v>33</v>
      </c>
      <c r="M450" t="s">
        <v>501</v>
      </c>
    </row>
    <row r="451" spans="1:13" x14ac:dyDescent="0.3">
      <c r="A451" t="s">
        <v>508</v>
      </c>
      <c r="B451" s="4">
        <v>45935</v>
      </c>
      <c r="C451" t="s">
        <v>51</v>
      </c>
      <c r="D451" t="s">
        <v>26</v>
      </c>
      <c r="E451" t="s">
        <v>53</v>
      </c>
      <c r="F451">
        <v>2</v>
      </c>
      <c r="G451" s="5">
        <v>4.93</v>
      </c>
      <c r="H451" s="6">
        <v>0.05</v>
      </c>
      <c r="I451" s="5">
        <v>9.3699999999999992</v>
      </c>
      <c r="J451" s="5">
        <v>6.09</v>
      </c>
      <c r="K451" s="5">
        <v>3.28</v>
      </c>
      <c r="L451" t="s">
        <v>33</v>
      </c>
      <c r="M451" t="s">
        <v>501</v>
      </c>
    </row>
    <row r="452" spans="1:13" x14ac:dyDescent="0.3">
      <c r="A452" t="s">
        <v>509</v>
      </c>
      <c r="B452" s="4">
        <v>45936</v>
      </c>
      <c r="C452" t="s">
        <v>25</v>
      </c>
      <c r="D452" t="s">
        <v>26</v>
      </c>
      <c r="E452" t="s">
        <v>32</v>
      </c>
      <c r="F452">
        <v>3</v>
      </c>
      <c r="G452" s="5">
        <v>4.3499999999999996</v>
      </c>
      <c r="H452" s="6">
        <v>0</v>
      </c>
      <c r="I452" s="5">
        <v>13.05</v>
      </c>
      <c r="J452" s="5">
        <v>7.58</v>
      </c>
      <c r="K452" s="5">
        <v>5.47</v>
      </c>
      <c r="L452" t="s">
        <v>28</v>
      </c>
      <c r="M452" t="s">
        <v>501</v>
      </c>
    </row>
    <row r="453" spans="1:13" x14ac:dyDescent="0.3">
      <c r="A453" t="s">
        <v>510</v>
      </c>
      <c r="B453" s="4">
        <v>45937</v>
      </c>
      <c r="C453" t="s">
        <v>31</v>
      </c>
      <c r="D453" t="s">
        <v>42</v>
      </c>
      <c r="E453" t="s">
        <v>97</v>
      </c>
      <c r="F453">
        <v>1</v>
      </c>
      <c r="G453" s="5">
        <v>62.93</v>
      </c>
      <c r="H453" s="6">
        <v>0.1</v>
      </c>
      <c r="I453" s="5">
        <v>56.64</v>
      </c>
      <c r="J453" s="5">
        <v>42.58</v>
      </c>
      <c r="K453" s="5">
        <v>14.06</v>
      </c>
      <c r="L453" t="s">
        <v>37</v>
      </c>
      <c r="M453" t="s">
        <v>501</v>
      </c>
    </row>
    <row r="454" spans="1:13" x14ac:dyDescent="0.3">
      <c r="A454" t="s">
        <v>511</v>
      </c>
      <c r="B454" s="4">
        <v>45937</v>
      </c>
      <c r="C454" t="s">
        <v>25</v>
      </c>
      <c r="D454" t="s">
        <v>35</v>
      </c>
      <c r="E454" t="s">
        <v>103</v>
      </c>
      <c r="F454">
        <v>1</v>
      </c>
      <c r="G454" s="5">
        <v>95.34</v>
      </c>
      <c r="H454" s="6">
        <v>0.1</v>
      </c>
      <c r="I454" s="5">
        <v>85.81</v>
      </c>
      <c r="J454" s="5">
        <v>68.11</v>
      </c>
      <c r="K454" s="5">
        <v>17.7</v>
      </c>
      <c r="L454" t="s">
        <v>33</v>
      </c>
      <c r="M454" t="s">
        <v>501</v>
      </c>
    </row>
    <row r="455" spans="1:13" x14ac:dyDescent="0.3">
      <c r="A455" t="s">
        <v>512</v>
      </c>
      <c r="B455" s="4">
        <v>45937</v>
      </c>
      <c r="C455" t="s">
        <v>39</v>
      </c>
      <c r="D455" t="s">
        <v>26</v>
      </c>
      <c r="E455" t="s">
        <v>68</v>
      </c>
      <c r="F455">
        <v>2</v>
      </c>
      <c r="G455" s="5">
        <v>11.53</v>
      </c>
      <c r="H455" s="6">
        <v>0</v>
      </c>
      <c r="I455" s="5">
        <v>23.06</v>
      </c>
      <c r="J455" s="5">
        <v>18.63</v>
      </c>
      <c r="K455" s="5">
        <v>4.43</v>
      </c>
      <c r="L455" t="s">
        <v>33</v>
      </c>
      <c r="M455" t="s">
        <v>501</v>
      </c>
    </row>
    <row r="456" spans="1:13" x14ac:dyDescent="0.3">
      <c r="A456" t="s">
        <v>513</v>
      </c>
      <c r="B456" s="4">
        <v>45938</v>
      </c>
      <c r="C456" t="s">
        <v>51</v>
      </c>
      <c r="D456" t="s">
        <v>26</v>
      </c>
      <c r="E456" t="s">
        <v>27</v>
      </c>
      <c r="F456">
        <v>2</v>
      </c>
      <c r="G456" s="5">
        <v>9.39</v>
      </c>
      <c r="H456" s="6">
        <v>0.15</v>
      </c>
      <c r="I456" s="5">
        <v>15.96</v>
      </c>
      <c r="J456" s="5">
        <v>11.26</v>
      </c>
      <c r="K456" s="5">
        <v>4.7</v>
      </c>
      <c r="L456" t="s">
        <v>33</v>
      </c>
      <c r="M456" t="s">
        <v>501</v>
      </c>
    </row>
    <row r="457" spans="1:13" x14ac:dyDescent="0.3">
      <c r="A457" t="s">
        <v>514</v>
      </c>
      <c r="B457" s="4">
        <v>45938</v>
      </c>
      <c r="C457" t="s">
        <v>25</v>
      </c>
      <c r="D457" t="s">
        <v>26</v>
      </c>
      <c r="E457" t="s">
        <v>53</v>
      </c>
      <c r="F457">
        <v>2</v>
      </c>
      <c r="G457" s="5">
        <v>8.39</v>
      </c>
      <c r="H457" s="6">
        <v>0.15</v>
      </c>
      <c r="I457" s="5">
        <v>14.26</v>
      </c>
      <c r="J457" s="5">
        <v>9.7200000000000006</v>
      </c>
      <c r="K457" s="5">
        <v>4.54</v>
      </c>
      <c r="L457" t="s">
        <v>37</v>
      </c>
      <c r="M457" t="s">
        <v>501</v>
      </c>
    </row>
    <row r="458" spans="1:13" x14ac:dyDescent="0.3">
      <c r="A458" t="s">
        <v>515</v>
      </c>
      <c r="B458" s="4">
        <v>45939</v>
      </c>
      <c r="C458" t="s">
        <v>31</v>
      </c>
      <c r="D458" t="s">
        <v>42</v>
      </c>
      <c r="E458" t="s">
        <v>62</v>
      </c>
      <c r="F458">
        <v>6</v>
      </c>
      <c r="G458" s="5">
        <v>45.42</v>
      </c>
      <c r="H458" s="6">
        <v>0</v>
      </c>
      <c r="I458" s="5">
        <v>272.52</v>
      </c>
      <c r="J458" s="5">
        <v>175.63</v>
      </c>
      <c r="K458" s="5">
        <v>96.89</v>
      </c>
      <c r="L458" t="s">
        <v>37</v>
      </c>
      <c r="M458" t="s">
        <v>501</v>
      </c>
    </row>
    <row r="459" spans="1:13" x14ac:dyDescent="0.3">
      <c r="A459" t="s">
        <v>516</v>
      </c>
      <c r="B459" s="4">
        <v>45939</v>
      </c>
      <c r="C459" t="s">
        <v>31</v>
      </c>
      <c r="D459" t="s">
        <v>26</v>
      </c>
      <c r="E459" t="s">
        <v>65</v>
      </c>
      <c r="F459">
        <v>2</v>
      </c>
      <c r="G459" s="5">
        <v>6.73</v>
      </c>
      <c r="H459" s="6">
        <v>0.05</v>
      </c>
      <c r="I459" s="5">
        <v>12.79</v>
      </c>
      <c r="J459" s="5">
        <v>10.81</v>
      </c>
      <c r="K459" s="5">
        <v>1.98</v>
      </c>
      <c r="L459" t="s">
        <v>37</v>
      </c>
      <c r="M459" t="s">
        <v>501</v>
      </c>
    </row>
    <row r="460" spans="1:13" x14ac:dyDescent="0.3">
      <c r="A460" t="s">
        <v>517</v>
      </c>
      <c r="B460" s="4">
        <v>45940</v>
      </c>
      <c r="C460" t="s">
        <v>39</v>
      </c>
      <c r="D460" t="s">
        <v>26</v>
      </c>
      <c r="E460" t="s">
        <v>68</v>
      </c>
      <c r="F460">
        <v>5</v>
      </c>
      <c r="G460" s="5">
        <v>8.02</v>
      </c>
      <c r="H460" s="6">
        <v>0.05</v>
      </c>
      <c r="I460" s="5">
        <v>38.090000000000003</v>
      </c>
      <c r="J460" s="5">
        <v>23.98</v>
      </c>
      <c r="K460" s="5">
        <v>14.11</v>
      </c>
      <c r="L460" t="s">
        <v>28</v>
      </c>
      <c r="M460" t="s">
        <v>501</v>
      </c>
    </row>
    <row r="461" spans="1:13" x14ac:dyDescent="0.3">
      <c r="A461" t="s">
        <v>518</v>
      </c>
      <c r="B461" s="4">
        <v>45941</v>
      </c>
      <c r="C461" t="s">
        <v>25</v>
      </c>
      <c r="D461" t="s">
        <v>35</v>
      </c>
      <c r="E461" t="s">
        <v>40</v>
      </c>
      <c r="F461">
        <v>4</v>
      </c>
      <c r="G461" s="5">
        <v>243.4</v>
      </c>
      <c r="H461" s="6">
        <v>0</v>
      </c>
      <c r="I461" s="5">
        <v>973.6</v>
      </c>
      <c r="J461" s="5">
        <v>529.49</v>
      </c>
      <c r="K461" s="5">
        <v>444.11</v>
      </c>
      <c r="L461" t="s">
        <v>33</v>
      </c>
      <c r="M461" t="s">
        <v>501</v>
      </c>
    </row>
    <row r="462" spans="1:13" x14ac:dyDescent="0.3">
      <c r="A462" t="s">
        <v>519</v>
      </c>
      <c r="B462" s="4">
        <v>45942</v>
      </c>
      <c r="C462" t="s">
        <v>25</v>
      </c>
      <c r="D462" t="s">
        <v>26</v>
      </c>
      <c r="E462" t="s">
        <v>27</v>
      </c>
      <c r="F462">
        <v>7</v>
      </c>
      <c r="G462" s="5">
        <v>29.6</v>
      </c>
      <c r="H462" s="6">
        <v>0.05</v>
      </c>
      <c r="I462" s="5">
        <v>196.84</v>
      </c>
      <c r="J462" s="5">
        <v>147.41999999999999</v>
      </c>
      <c r="K462" s="5">
        <v>49.42</v>
      </c>
      <c r="L462" t="s">
        <v>33</v>
      </c>
      <c r="M462" t="s">
        <v>501</v>
      </c>
    </row>
    <row r="463" spans="1:13" x14ac:dyDescent="0.3">
      <c r="A463" t="s">
        <v>520</v>
      </c>
      <c r="B463" s="4">
        <v>45942</v>
      </c>
      <c r="C463" t="s">
        <v>31</v>
      </c>
      <c r="D463" t="s">
        <v>26</v>
      </c>
      <c r="E463" t="s">
        <v>65</v>
      </c>
      <c r="F463">
        <v>4</v>
      </c>
      <c r="G463" s="5">
        <v>17.899999999999999</v>
      </c>
      <c r="H463" s="6">
        <v>0.05</v>
      </c>
      <c r="I463" s="5">
        <v>68.02</v>
      </c>
      <c r="J463" s="5">
        <v>53.23</v>
      </c>
      <c r="K463" s="5">
        <v>14.79</v>
      </c>
      <c r="L463" t="s">
        <v>28</v>
      </c>
      <c r="M463" t="s">
        <v>501</v>
      </c>
    </row>
    <row r="464" spans="1:13" x14ac:dyDescent="0.3">
      <c r="A464" t="s">
        <v>521</v>
      </c>
      <c r="B464" s="4">
        <v>45942</v>
      </c>
      <c r="C464" t="s">
        <v>39</v>
      </c>
      <c r="D464" t="s">
        <v>26</v>
      </c>
      <c r="E464" t="s">
        <v>65</v>
      </c>
      <c r="F464">
        <v>2</v>
      </c>
      <c r="G464" s="5">
        <v>16.04</v>
      </c>
      <c r="H464" s="6">
        <v>0.15</v>
      </c>
      <c r="I464" s="5">
        <v>27.27</v>
      </c>
      <c r="J464" s="5">
        <v>19.649999999999999</v>
      </c>
      <c r="K464" s="5">
        <v>7.62</v>
      </c>
      <c r="L464" t="s">
        <v>37</v>
      </c>
      <c r="M464" t="s">
        <v>501</v>
      </c>
    </row>
    <row r="465" spans="1:13" x14ac:dyDescent="0.3">
      <c r="A465" t="s">
        <v>522</v>
      </c>
      <c r="B465" s="4">
        <v>45942</v>
      </c>
      <c r="C465" t="s">
        <v>39</v>
      </c>
      <c r="D465" t="s">
        <v>26</v>
      </c>
      <c r="E465" t="s">
        <v>65</v>
      </c>
      <c r="F465">
        <v>1</v>
      </c>
      <c r="G465" s="5">
        <v>18.79</v>
      </c>
      <c r="H465" s="6">
        <v>0</v>
      </c>
      <c r="I465" s="5">
        <v>18.79</v>
      </c>
      <c r="J465" s="5">
        <v>10.57</v>
      </c>
      <c r="K465" s="5">
        <v>8.2200000000000006</v>
      </c>
      <c r="L465" t="s">
        <v>33</v>
      </c>
      <c r="M465" t="s">
        <v>501</v>
      </c>
    </row>
    <row r="466" spans="1:13" x14ac:dyDescent="0.3">
      <c r="A466" t="s">
        <v>523</v>
      </c>
      <c r="B466" s="4">
        <v>45942</v>
      </c>
      <c r="C466" t="s">
        <v>39</v>
      </c>
      <c r="D466" t="s">
        <v>42</v>
      </c>
      <c r="E466" t="s">
        <v>97</v>
      </c>
      <c r="F466">
        <v>7</v>
      </c>
      <c r="G466" s="5">
        <v>37.380000000000003</v>
      </c>
      <c r="H466" s="6">
        <v>0.05</v>
      </c>
      <c r="I466" s="5">
        <v>248.58</v>
      </c>
      <c r="J466" s="5">
        <v>164.45</v>
      </c>
      <c r="K466" s="5">
        <v>84.13</v>
      </c>
      <c r="L466" t="s">
        <v>37</v>
      </c>
      <c r="M466" t="s">
        <v>501</v>
      </c>
    </row>
    <row r="467" spans="1:13" x14ac:dyDescent="0.3">
      <c r="A467" t="s">
        <v>524</v>
      </c>
      <c r="B467" s="4">
        <v>45943</v>
      </c>
      <c r="C467" t="s">
        <v>25</v>
      </c>
      <c r="D467" t="s">
        <v>26</v>
      </c>
      <c r="E467" t="s">
        <v>65</v>
      </c>
      <c r="F467">
        <v>1</v>
      </c>
      <c r="G467" s="5">
        <v>19.07</v>
      </c>
      <c r="H467" s="6">
        <v>0.05</v>
      </c>
      <c r="I467" s="5">
        <v>18.12</v>
      </c>
      <c r="J467" s="5">
        <v>15.2</v>
      </c>
      <c r="K467" s="5">
        <v>2.92</v>
      </c>
      <c r="L467" t="s">
        <v>33</v>
      </c>
      <c r="M467" t="s">
        <v>501</v>
      </c>
    </row>
    <row r="468" spans="1:13" x14ac:dyDescent="0.3">
      <c r="A468" t="s">
        <v>525</v>
      </c>
      <c r="B468" s="4">
        <v>45943</v>
      </c>
      <c r="C468" t="s">
        <v>25</v>
      </c>
      <c r="D468" t="s">
        <v>35</v>
      </c>
      <c r="E468" t="s">
        <v>40</v>
      </c>
      <c r="F468">
        <v>4</v>
      </c>
      <c r="G468" s="5">
        <v>241.57</v>
      </c>
      <c r="H468" s="6">
        <v>0.1</v>
      </c>
      <c r="I468" s="5">
        <v>869.65</v>
      </c>
      <c r="J468" s="5">
        <v>693.02</v>
      </c>
      <c r="K468" s="5">
        <v>176.63</v>
      </c>
      <c r="L468" t="s">
        <v>37</v>
      </c>
      <c r="M468" t="s">
        <v>501</v>
      </c>
    </row>
    <row r="469" spans="1:13" x14ac:dyDescent="0.3">
      <c r="A469" t="s">
        <v>526</v>
      </c>
      <c r="B469" s="4">
        <v>45944</v>
      </c>
      <c r="C469" t="s">
        <v>31</v>
      </c>
      <c r="D469" t="s">
        <v>35</v>
      </c>
      <c r="E469" t="s">
        <v>103</v>
      </c>
      <c r="F469">
        <v>7</v>
      </c>
      <c r="G469" s="5">
        <v>189.78</v>
      </c>
      <c r="H469" s="6">
        <v>0</v>
      </c>
      <c r="I469" s="5">
        <v>1328.46</v>
      </c>
      <c r="J469" s="5">
        <v>1018.31</v>
      </c>
      <c r="K469" s="5">
        <v>310.14999999999998</v>
      </c>
      <c r="L469" t="s">
        <v>28</v>
      </c>
      <c r="M469" t="s">
        <v>501</v>
      </c>
    </row>
    <row r="470" spans="1:13" x14ac:dyDescent="0.3">
      <c r="A470" t="s">
        <v>527</v>
      </c>
      <c r="B470" s="4">
        <v>45944</v>
      </c>
      <c r="C470" t="s">
        <v>25</v>
      </c>
      <c r="D470" t="s">
        <v>26</v>
      </c>
      <c r="E470" t="s">
        <v>65</v>
      </c>
      <c r="F470">
        <v>3</v>
      </c>
      <c r="G470" s="5">
        <v>11.39</v>
      </c>
      <c r="H470" s="6">
        <v>0.2</v>
      </c>
      <c r="I470" s="5">
        <v>27.34</v>
      </c>
      <c r="J470" s="5">
        <v>21.67</v>
      </c>
      <c r="K470" s="5">
        <v>5.67</v>
      </c>
      <c r="L470" t="s">
        <v>37</v>
      </c>
      <c r="M470" t="s">
        <v>501</v>
      </c>
    </row>
    <row r="471" spans="1:13" x14ac:dyDescent="0.3">
      <c r="A471" t="s">
        <v>528</v>
      </c>
      <c r="B471" s="4">
        <v>45944</v>
      </c>
      <c r="C471" t="s">
        <v>25</v>
      </c>
      <c r="D471" t="s">
        <v>35</v>
      </c>
      <c r="E471" t="s">
        <v>45</v>
      </c>
      <c r="F471">
        <v>7</v>
      </c>
      <c r="G471" s="5">
        <v>467.91</v>
      </c>
      <c r="H471" s="6">
        <v>0.1</v>
      </c>
      <c r="I471" s="5">
        <v>2947.83</v>
      </c>
      <c r="J471" s="5">
        <v>2639.77</v>
      </c>
      <c r="K471" s="5">
        <v>308.06</v>
      </c>
      <c r="L471" t="s">
        <v>37</v>
      </c>
      <c r="M471" t="s">
        <v>501</v>
      </c>
    </row>
    <row r="472" spans="1:13" x14ac:dyDescent="0.3">
      <c r="A472" t="s">
        <v>529</v>
      </c>
      <c r="B472" s="4">
        <v>45945</v>
      </c>
      <c r="C472" t="s">
        <v>39</v>
      </c>
      <c r="D472" t="s">
        <v>42</v>
      </c>
      <c r="E472" t="s">
        <v>59</v>
      </c>
      <c r="F472">
        <v>2</v>
      </c>
      <c r="G472" s="5">
        <v>333.94</v>
      </c>
      <c r="H472" s="6">
        <v>0.05</v>
      </c>
      <c r="I472" s="5">
        <v>634.49</v>
      </c>
      <c r="J472" s="5">
        <v>531.48</v>
      </c>
      <c r="K472" s="5">
        <v>103.01</v>
      </c>
      <c r="L472" t="s">
        <v>33</v>
      </c>
      <c r="M472" t="s">
        <v>501</v>
      </c>
    </row>
    <row r="473" spans="1:13" x14ac:dyDescent="0.3">
      <c r="A473" t="s">
        <v>530</v>
      </c>
      <c r="B473" s="4">
        <v>45945</v>
      </c>
      <c r="C473" t="s">
        <v>25</v>
      </c>
      <c r="D473" t="s">
        <v>26</v>
      </c>
      <c r="E473" t="s">
        <v>27</v>
      </c>
      <c r="F473">
        <v>5</v>
      </c>
      <c r="G473" s="5">
        <v>24.52</v>
      </c>
      <c r="H473" s="6">
        <v>0.15</v>
      </c>
      <c r="I473" s="5">
        <v>104.21</v>
      </c>
      <c r="J473" s="5">
        <v>90.54</v>
      </c>
      <c r="K473" s="5">
        <v>13.67</v>
      </c>
      <c r="L473" t="s">
        <v>28</v>
      </c>
      <c r="M473" t="s">
        <v>501</v>
      </c>
    </row>
    <row r="474" spans="1:13" x14ac:dyDescent="0.3">
      <c r="A474" t="s">
        <v>531</v>
      </c>
      <c r="B474" s="4">
        <v>45945</v>
      </c>
      <c r="C474" t="s">
        <v>25</v>
      </c>
      <c r="D474" t="s">
        <v>26</v>
      </c>
      <c r="E474" t="s">
        <v>65</v>
      </c>
      <c r="F474">
        <v>5</v>
      </c>
      <c r="G474" s="5">
        <v>17.57</v>
      </c>
      <c r="H474" s="6">
        <v>0</v>
      </c>
      <c r="I474" s="5">
        <v>87.85</v>
      </c>
      <c r="J474" s="5">
        <v>52.95</v>
      </c>
      <c r="K474" s="5">
        <v>34.9</v>
      </c>
      <c r="L474" t="s">
        <v>33</v>
      </c>
      <c r="M474" t="s">
        <v>501</v>
      </c>
    </row>
    <row r="475" spans="1:13" x14ac:dyDescent="0.3">
      <c r="A475" t="s">
        <v>532</v>
      </c>
      <c r="B475" s="4">
        <v>45947</v>
      </c>
      <c r="C475" t="s">
        <v>51</v>
      </c>
      <c r="D475" t="s">
        <v>35</v>
      </c>
      <c r="E475" t="s">
        <v>40</v>
      </c>
      <c r="F475">
        <v>7</v>
      </c>
      <c r="G475" s="5">
        <v>347.98</v>
      </c>
      <c r="H475" s="6">
        <v>0.1</v>
      </c>
      <c r="I475" s="5">
        <v>2192.27</v>
      </c>
      <c r="J475" s="5">
        <v>1889.38</v>
      </c>
      <c r="K475" s="5">
        <v>302.89</v>
      </c>
      <c r="L475" t="s">
        <v>33</v>
      </c>
      <c r="M475" t="s">
        <v>501</v>
      </c>
    </row>
    <row r="476" spans="1:13" x14ac:dyDescent="0.3">
      <c r="A476" t="s">
        <v>533</v>
      </c>
      <c r="B476" s="4">
        <v>45947</v>
      </c>
      <c r="C476" t="s">
        <v>39</v>
      </c>
      <c r="D476" t="s">
        <v>26</v>
      </c>
      <c r="E476" t="s">
        <v>32</v>
      </c>
      <c r="F476">
        <v>4</v>
      </c>
      <c r="G476" s="5">
        <v>7.9</v>
      </c>
      <c r="H476" s="6">
        <v>0</v>
      </c>
      <c r="I476" s="5">
        <v>31.6</v>
      </c>
      <c r="J476" s="5">
        <v>18.809999999999999</v>
      </c>
      <c r="K476" s="5">
        <v>12.79</v>
      </c>
      <c r="L476" t="s">
        <v>33</v>
      </c>
      <c r="M476" t="s">
        <v>501</v>
      </c>
    </row>
    <row r="477" spans="1:13" x14ac:dyDescent="0.3">
      <c r="A477" t="s">
        <v>534</v>
      </c>
      <c r="B477" s="4">
        <v>45948</v>
      </c>
      <c r="C477" t="s">
        <v>31</v>
      </c>
      <c r="D477" t="s">
        <v>42</v>
      </c>
      <c r="E477" t="s">
        <v>59</v>
      </c>
      <c r="F477">
        <v>6</v>
      </c>
      <c r="G477" s="5">
        <v>308.93</v>
      </c>
      <c r="H477" s="6">
        <v>0.1</v>
      </c>
      <c r="I477" s="5">
        <v>1668.22</v>
      </c>
      <c r="J477" s="5">
        <v>1005.05</v>
      </c>
      <c r="K477" s="5">
        <v>663.17</v>
      </c>
      <c r="L477" t="s">
        <v>33</v>
      </c>
      <c r="M477" t="s">
        <v>501</v>
      </c>
    </row>
    <row r="478" spans="1:13" x14ac:dyDescent="0.3">
      <c r="A478" t="s">
        <v>535</v>
      </c>
      <c r="B478" s="4">
        <v>45948</v>
      </c>
      <c r="C478" t="s">
        <v>25</v>
      </c>
      <c r="D478" t="s">
        <v>26</v>
      </c>
      <c r="E478" t="s">
        <v>68</v>
      </c>
      <c r="F478">
        <v>3</v>
      </c>
      <c r="G478" s="5">
        <v>6.24</v>
      </c>
      <c r="H478" s="6">
        <v>0</v>
      </c>
      <c r="I478" s="5">
        <v>18.72</v>
      </c>
      <c r="J478" s="5">
        <v>14.88</v>
      </c>
      <c r="K478" s="5">
        <v>3.84</v>
      </c>
      <c r="L478" t="s">
        <v>37</v>
      </c>
      <c r="M478" t="s">
        <v>501</v>
      </c>
    </row>
    <row r="479" spans="1:13" x14ac:dyDescent="0.3">
      <c r="A479" t="s">
        <v>536</v>
      </c>
      <c r="B479" s="4">
        <v>45948</v>
      </c>
      <c r="C479" t="s">
        <v>39</v>
      </c>
      <c r="D479" t="s">
        <v>42</v>
      </c>
      <c r="E479" t="s">
        <v>97</v>
      </c>
      <c r="F479">
        <v>3</v>
      </c>
      <c r="G479" s="5">
        <v>16.64</v>
      </c>
      <c r="H479" s="6">
        <v>0.2</v>
      </c>
      <c r="I479" s="5">
        <v>39.94</v>
      </c>
      <c r="J479" s="5">
        <v>28.27</v>
      </c>
      <c r="K479" s="5">
        <v>11.67</v>
      </c>
      <c r="L479" t="s">
        <v>28</v>
      </c>
      <c r="M479" t="s">
        <v>501</v>
      </c>
    </row>
    <row r="480" spans="1:13" x14ac:dyDescent="0.3">
      <c r="A480" t="s">
        <v>537</v>
      </c>
      <c r="B480" s="4">
        <v>45948</v>
      </c>
      <c r="C480" t="s">
        <v>31</v>
      </c>
      <c r="D480" t="s">
        <v>42</v>
      </c>
      <c r="E480" t="s">
        <v>62</v>
      </c>
      <c r="F480">
        <v>1</v>
      </c>
      <c r="G480" s="5">
        <v>89.39</v>
      </c>
      <c r="H480" s="6">
        <v>0</v>
      </c>
      <c r="I480" s="5">
        <v>89.39</v>
      </c>
      <c r="J480" s="5">
        <v>63.08</v>
      </c>
      <c r="K480" s="5">
        <v>26.31</v>
      </c>
      <c r="L480" t="s">
        <v>37</v>
      </c>
      <c r="M480" t="s">
        <v>501</v>
      </c>
    </row>
    <row r="481" spans="1:13" x14ac:dyDescent="0.3">
      <c r="A481" t="s">
        <v>538</v>
      </c>
      <c r="B481" s="4">
        <v>45950</v>
      </c>
      <c r="C481" t="s">
        <v>51</v>
      </c>
      <c r="D481" t="s">
        <v>35</v>
      </c>
      <c r="E481" t="s">
        <v>45</v>
      </c>
      <c r="F481">
        <v>2</v>
      </c>
      <c r="G481" s="5">
        <v>506.06</v>
      </c>
      <c r="H481" s="6">
        <v>0.05</v>
      </c>
      <c r="I481" s="5">
        <v>961.51</v>
      </c>
      <c r="J481" s="5">
        <v>740.74</v>
      </c>
      <c r="K481" s="5">
        <v>220.77</v>
      </c>
      <c r="L481" t="s">
        <v>37</v>
      </c>
      <c r="M481" t="s">
        <v>501</v>
      </c>
    </row>
    <row r="482" spans="1:13" x14ac:dyDescent="0.3">
      <c r="A482" t="s">
        <v>539</v>
      </c>
      <c r="B482" s="4">
        <v>45950</v>
      </c>
      <c r="C482" t="s">
        <v>25</v>
      </c>
      <c r="D482" t="s">
        <v>42</v>
      </c>
      <c r="E482" t="s">
        <v>43</v>
      </c>
      <c r="F482">
        <v>2</v>
      </c>
      <c r="G482" s="5">
        <v>89.88</v>
      </c>
      <c r="H482" s="6">
        <v>0.1</v>
      </c>
      <c r="I482" s="5">
        <v>161.78</v>
      </c>
      <c r="J482" s="5">
        <v>142.80000000000001</v>
      </c>
      <c r="K482" s="5">
        <v>18.98</v>
      </c>
      <c r="L482" t="s">
        <v>28</v>
      </c>
      <c r="M482" t="s">
        <v>501</v>
      </c>
    </row>
    <row r="483" spans="1:13" x14ac:dyDescent="0.3">
      <c r="A483" t="s">
        <v>540</v>
      </c>
      <c r="B483" s="4">
        <v>45951</v>
      </c>
      <c r="C483" t="s">
        <v>51</v>
      </c>
      <c r="D483" t="s">
        <v>35</v>
      </c>
      <c r="E483" t="s">
        <v>45</v>
      </c>
      <c r="F483">
        <v>7</v>
      </c>
      <c r="G483" s="5">
        <v>338.01</v>
      </c>
      <c r="H483" s="6">
        <v>0</v>
      </c>
      <c r="I483" s="5">
        <v>2366.0700000000002</v>
      </c>
      <c r="J483" s="5">
        <v>1367.36</v>
      </c>
      <c r="K483" s="5">
        <v>998.71</v>
      </c>
      <c r="L483" t="s">
        <v>28</v>
      </c>
      <c r="M483" t="s">
        <v>501</v>
      </c>
    </row>
    <row r="484" spans="1:13" x14ac:dyDescent="0.3">
      <c r="A484" t="s">
        <v>541</v>
      </c>
      <c r="B484" s="4">
        <v>45951</v>
      </c>
      <c r="C484" t="s">
        <v>39</v>
      </c>
      <c r="D484" t="s">
        <v>26</v>
      </c>
      <c r="E484" t="s">
        <v>53</v>
      </c>
      <c r="F484">
        <v>6</v>
      </c>
      <c r="G484" s="5">
        <v>20.29</v>
      </c>
      <c r="H484" s="6">
        <v>0.1</v>
      </c>
      <c r="I484" s="5">
        <v>109.57</v>
      </c>
      <c r="J484" s="5">
        <v>77.12</v>
      </c>
      <c r="K484" s="5">
        <v>32.450000000000003</v>
      </c>
      <c r="L484" t="s">
        <v>28</v>
      </c>
      <c r="M484" t="s">
        <v>501</v>
      </c>
    </row>
    <row r="485" spans="1:13" x14ac:dyDescent="0.3">
      <c r="A485" t="s">
        <v>542</v>
      </c>
      <c r="B485" s="4">
        <v>45951</v>
      </c>
      <c r="C485" t="s">
        <v>51</v>
      </c>
      <c r="D485" t="s">
        <v>42</v>
      </c>
      <c r="E485" t="s">
        <v>97</v>
      </c>
      <c r="F485">
        <v>8</v>
      </c>
      <c r="G485" s="5">
        <v>29.32</v>
      </c>
      <c r="H485" s="6">
        <v>0.1</v>
      </c>
      <c r="I485" s="5">
        <v>211.1</v>
      </c>
      <c r="J485" s="5">
        <v>141.54</v>
      </c>
      <c r="K485" s="5">
        <v>69.56</v>
      </c>
      <c r="L485" t="s">
        <v>33</v>
      </c>
      <c r="M485" t="s">
        <v>501</v>
      </c>
    </row>
    <row r="486" spans="1:13" x14ac:dyDescent="0.3">
      <c r="A486" t="s">
        <v>543</v>
      </c>
      <c r="B486" s="4">
        <v>45951</v>
      </c>
      <c r="C486" t="s">
        <v>31</v>
      </c>
      <c r="D486" t="s">
        <v>26</v>
      </c>
      <c r="E486" t="s">
        <v>32</v>
      </c>
      <c r="F486">
        <v>3</v>
      </c>
      <c r="G486" s="5">
        <v>9.51</v>
      </c>
      <c r="H486" s="6">
        <v>0.1</v>
      </c>
      <c r="I486" s="5">
        <v>25.68</v>
      </c>
      <c r="J486" s="5">
        <v>21.69</v>
      </c>
      <c r="K486" s="5">
        <v>3.99</v>
      </c>
      <c r="L486" t="s">
        <v>28</v>
      </c>
      <c r="M486" t="s">
        <v>501</v>
      </c>
    </row>
    <row r="487" spans="1:13" x14ac:dyDescent="0.3">
      <c r="A487" t="s">
        <v>544</v>
      </c>
      <c r="B487" s="4">
        <v>45951</v>
      </c>
      <c r="C487" t="s">
        <v>31</v>
      </c>
      <c r="D487" t="s">
        <v>42</v>
      </c>
      <c r="E487" t="s">
        <v>59</v>
      </c>
      <c r="F487">
        <v>1</v>
      </c>
      <c r="G487" s="5">
        <v>165.34</v>
      </c>
      <c r="H487" s="6">
        <v>0.1</v>
      </c>
      <c r="I487" s="5">
        <v>148.81</v>
      </c>
      <c r="J487" s="5">
        <v>124.81</v>
      </c>
      <c r="K487" s="5">
        <v>24</v>
      </c>
      <c r="L487" t="s">
        <v>28</v>
      </c>
      <c r="M487" t="s">
        <v>501</v>
      </c>
    </row>
    <row r="488" spans="1:13" x14ac:dyDescent="0.3">
      <c r="A488" t="s">
        <v>545</v>
      </c>
      <c r="B488" s="4">
        <v>45952</v>
      </c>
      <c r="C488" t="s">
        <v>31</v>
      </c>
      <c r="D488" t="s">
        <v>35</v>
      </c>
      <c r="E488" t="s">
        <v>103</v>
      </c>
      <c r="F488">
        <v>1</v>
      </c>
      <c r="G488" s="5">
        <v>286.27999999999997</v>
      </c>
      <c r="H488" s="6">
        <v>0.15</v>
      </c>
      <c r="I488" s="5">
        <v>243.34</v>
      </c>
      <c r="J488" s="5">
        <v>194.59</v>
      </c>
      <c r="K488" s="5">
        <v>48.75</v>
      </c>
      <c r="L488" t="s">
        <v>33</v>
      </c>
      <c r="M488" t="s">
        <v>501</v>
      </c>
    </row>
    <row r="489" spans="1:13" x14ac:dyDescent="0.3">
      <c r="A489" t="s">
        <v>546</v>
      </c>
      <c r="B489" s="4">
        <v>45953</v>
      </c>
      <c r="C489" t="s">
        <v>25</v>
      </c>
      <c r="D489" t="s">
        <v>26</v>
      </c>
      <c r="E489" t="s">
        <v>53</v>
      </c>
      <c r="F489">
        <v>8</v>
      </c>
      <c r="G489" s="5">
        <v>23.9</v>
      </c>
      <c r="H489" s="6">
        <v>0</v>
      </c>
      <c r="I489" s="5">
        <v>191.2</v>
      </c>
      <c r="J489" s="5">
        <v>119.8</v>
      </c>
      <c r="K489" s="5">
        <v>71.400000000000006</v>
      </c>
      <c r="L489" t="s">
        <v>33</v>
      </c>
      <c r="M489" t="s">
        <v>501</v>
      </c>
    </row>
    <row r="490" spans="1:13" x14ac:dyDescent="0.3">
      <c r="A490" t="s">
        <v>547</v>
      </c>
      <c r="B490" s="4">
        <v>45953</v>
      </c>
      <c r="C490" t="s">
        <v>39</v>
      </c>
      <c r="D490" t="s">
        <v>42</v>
      </c>
      <c r="E490" t="s">
        <v>59</v>
      </c>
      <c r="F490">
        <v>3</v>
      </c>
      <c r="G490" s="5">
        <v>299.99</v>
      </c>
      <c r="H490" s="6">
        <v>0.2</v>
      </c>
      <c r="I490" s="5">
        <v>719.98</v>
      </c>
      <c r="J490" s="5">
        <v>534.74</v>
      </c>
      <c r="K490" s="5">
        <v>185.24</v>
      </c>
      <c r="L490" t="s">
        <v>28</v>
      </c>
      <c r="M490" t="s">
        <v>501</v>
      </c>
    </row>
    <row r="491" spans="1:13" x14ac:dyDescent="0.3">
      <c r="A491" t="s">
        <v>548</v>
      </c>
      <c r="B491" s="4">
        <v>45955</v>
      </c>
      <c r="C491" t="s">
        <v>39</v>
      </c>
      <c r="D491" t="s">
        <v>42</v>
      </c>
      <c r="E491" t="s">
        <v>62</v>
      </c>
      <c r="F491">
        <v>1</v>
      </c>
      <c r="G491" s="5">
        <v>85.95</v>
      </c>
      <c r="H491" s="6">
        <v>0.15</v>
      </c>
      <c r="I491" s="5">
        <v>73.06</v>
      </c>
      <c r="J491" s="5">
        <v>49.89</v>
      </c>
      <c r="K491" s="5">
        <v>23.17</v>
      </c>
      <c r="L491" t="s">
        <v>28</v>
      </c>
      <c r="M491" t="s">
        <v>501</v>
      </c>
    </row>
    <row r="492" spans="1:13" x14ac:dyDescent="0.3">
      <c r="A492" t="s">
        <v>549</v>
      </c>
      <c r="B492" s="4">
        <v>45956</v>
      </c>
      <c r="C492" t="s">
        <v>51</v>
      </c>
      <c r="D492" t="s">
        <v>26</v>
      </c>
      <c r="E492" t="s">
        <v>27</v>
      </c>
      <c r="F492">
        <v>4</v>
      </c>
      <c r="G492" s="5">
        <v>28.98</v>
      </c>
      <c r="H492" s="6">
        <v>0.1</v>
      </c>
      <c r="I492" s="5">
        <v>104.33</v>
      </c>
      <c r="J492" s="5">
        <v>94.63</v>
      </c>
      <c r="K492" s="5">
        <v>9.6999999999999993</v>
      </c>
      <c r="L492" t="s">
        <v>28</v>
      </c>
      <c r="M492" t="s">
        <v>501</v>
      </c>
    </row>
    <row r="493" spans="1:13" x14ac:dyDescent="0.3">
      <c r="A493" t="s">
        <v>550</v>
      </c>
      <c r="B493" s="4">
        <v>45957</v>
      </c>
      <c r="C493" t="s">
        <v>51</v>
      </c>
      <c r="D493" t="s">
        <v>26</v>
      </c>
      <c r="E493" t="s">
        <v>53</v>
      </c>
      <c r="F493">
        <v>8</v>
      </c>
      <c r="G493" s="5">
        <v>8.2799999999999994</v>
      </c>
      <c r="H493" s="6">
        <v>0.05</v>
      </c>
      <c r="I493" s="5">
        <v>62.93</v>
      </c>
      <c r="J493" s="5">
        <v>50.99</v>
      </c>
      <c r="K493" s="5">
        <v>11.94</v>
      </c>
      <c r="L493" t="s">
        <v>28</v>
      </c>
      <c r="M493" t="s">
        <v>501</v>
      </c>
    </row>
    <row r="494" spans="1:13" x14ac:dyDescent="0.3">
      <c r="A494" t="s">
        <v>551</v>
      </c>
      <c r="B494" s="4">
        <v>45958</v>
      </c>
      <c r="C494" t="s">
        <v>51</v>
      </c>
      <c r="D494" t="s">
        <v>42</v>
      </c>
      <c r="E494" t="s">
        <v>62</v>
      </c>
      <c r="F494">
        <v>4</v>
      </c>
      <c r="G494" s="5">
        <v>82.93</v>
      </c>
      <c r="H494" s="6">
        <v>0</v>
      </c>
      <c r="I494" s="5">
        <v>331.72</v>
      </c>
      <c r="J494" s="5">
        <v>259.95</v>
      </c>
      <c r="K494" s="5">
        <v>71.77</v>
      </c>
      <c r="L494" t="s">
        <v>28</v>
      </c>
      <c r="M494" t="s">
        <v>501</v>
      </c>
    </row>
    <row r="495" spans="1:13" x14ac:dyDescent="0.3">
      <c r="A495" t="s">
        <v>552</v>
      </c>
      <c r="B495" s="4">
        <v>45959</v>
      </c>
      <c r="C495" t="s">
        <v>31</v>
      </c>
      <c r="D495" t="s">
        <v>42</v>
      </c>
      <c r="E495" t="s">
        <v>62</v>
      </c>
      <c r="F495">
        <v>3</v>
      </c>
      <c r="G495" s="5">
        <v>83.93</v>
      </c>
      <c r="H495" s="6">
        <v>0.05</v>
      </c>
      <c r="I495" s="5">
        <v>239.2</v>
      </c>
      <c r="J495" s="5">
        <v>200.87</v>
      </c>
      <c r="K495" s="5">
        <v>38.33</v>
      </c>
      <c r="L495" t="s">
        <v>28</v>
      </c>
      <c r="M495" t="s">
        <v>501</v>
      </c>
    </row>
    <row r="496" spans="1:13" x14ac:dyDescent="0.3">
      <c r="A496" t="s">
        <v>553</v>
      </c>
      <c r="B496" s="4">
        <v>45959</v>
      </c>
      <c r="C496" t="s">
        <v>31</v>
      </c>
      <c r="D496" t="s">
        <v>42</v>
      </c>
      <c r="E496" t="s">
        <v>59</v>
      </c>
      <c r="F496">
        <v>5</v>
      </c>
      <c r="G496" s="5">
        <v>127.01</v>
      </c>
      <c r="H496" s="6">
        <v>0</v>
      </c>
      <c r="I496" s="5">
        <v>635.04999999999995</v>
      </c>
      <c r="J496" s="5">
        <v>418.57</v>
      </c>
      <c r="K496" s="5">
        <v>216.48</v>
      </c>
      <c r="L496" t="s">
        <v>33</v>
      </c>
      <c r="M496" t="s">
        <v>501</v>
      </c>
    </row>
    <row r="497" spans="1:13" x14ac:dyDescent="0.3">
      <c r="A497" t="s">
        <v>554</v>
      </c>
      <c r="B497" s="4">
        <v>45959</v>
      </c>
      <c r="C497" t="s">
        <v>25</v>
      </c>
      <c r="D497" t="s">
        <v>35</v>
      </c>
      <c r="E497" t="s">
        <v>45</v>
      </c>
      <c r="F497">
        <v>7</v>
      </c>
      <c r="G497" s="5">
        <v>426.96</v>
      </c>
      <c r="H497" s="6">
        <v>0.1</v>
      </c>
      <c r="I497" s="5">
        <v>2689.85</v>
      </c>
      <c r="J497" s="5">
        <v>2192.27</v>
      </c>
      <c r="K497" s="5">
        <v>497.58</v>
      </c>
      <c r="L497" t="s">
        <v>28</v>
      </c>
      <c r="M497" t="s">
        <v>501</v>
      </c>
    </row>
    <row r="498" spans="1:13" x14ac:dyDescent="0.3">
      <c r="A498" t="s">
        <v>555</v>
      </c>
      <c r="B498" s="4">
        <v>45960</v>
      </c>
      <c r="C498" t="s">
        <v>39</v>
      </c>
      <c r="D498" t="s">
        <v>26</v>
      </c>
      <c r="E498" t="s">
        <v>32</v>
      </c>
      <c r="F498">
        <v>6</v>
      </c>
      <c r="G498" s="5">
        <v>13.41</v>
      </c>
      <c r="H498" s="6">
        <v>0.1</v>
      </c>
      <c r="I498" s="5">
        <v>72.41</v>
      </c>
      <c r="J498" s="5">
        <v>45.1</v>
      </c>
      <c r="K498" s="5">
        <v>27.31</v>
      </c>
      <c r="L498" t="s">
        <v>28</v>
      </c>
      <c r="M498" t="s">
        <v>501</v>
      </c>
    </row>
    <row r="499" spans="1:13" x14ac:dyDescent="0.3">
      <c r="A499" t="s">
        <v>556</v>
      </c>
      <c r="B499" s="4">
        <v>45960</v>
      </c>
      <c r="C499" t="s">
        <v>25</v>
      </c>
      <c r="D499" t="s">
        <v>26</v>
      </c>
      <c r="E499" t="s">
        <v>32</v>
      </c>
      <c r="F499">
        <v>8</v>
      </c>
      <c r="G499" s="5">
        <v>13.33</v>
      </c>
      <c r="H499" s="6">
        <v>0.05</v>
      </c>
      <c r="I499" s="5">
        <v>101.31</v>
      </c>
      <c r="J499" s="5">
        <v>67.86</v>
      </c>
      <c r="K499" s="5">
        <v>33.450000000000003</v>
      </c>
      <c r="L499" t="s">
        <v>33</v>
      </c>
      <c r="M499" t="s">
        <v>501</v>
      </c>
    </row>
    <row r="500" spans="1:13" x14ac:dyDescent="0.3">
      <c r="A500" t="s">
        <v>557</v>
      </c>
      <c r="B500" s="4">
        <v>45960</v>
      </c>
      <c r="C500" t="s">
        <v>51</v>
      </c>
      <c r="D500" t="s">
        <v>42</v>
      </c>
      <c r="E500" t="s">
        <v>72</v>
      </c>
      <c r="F500">
        <v>2</v>
      </c>
      <c r="G500" s="5">
        <v>520.91999999999996</v>
      </c>
      <c r="H500" s="6">
        <v>0</v>
      </c>
      <c r="I500" s="5">
        <v>1041.8399999999999</v>
      </c>
      <c r="J500" s="5">
        <v>839.4</v>
      </c>
      <c r="K500" s="5">
        <v>202.44</v>
      </c>
      <c r="L500" t="s">
        <v>37</v>
      </c>
      <c r="M500" t="s">
        <v>501</v>
      </c>
    </row>
    <row r="501" spans="1:13" x14ac:dyDescent="0.3">
      <c r="A501" t="s">
        <v>558</v>
      </c>
      <c r="B501" s="4">
        <v>45960</v>
      </c>
      <c r="C501" t="s">
        <v>51</v>
      </c>
      <c r="D501" t="s">
        <v>26</v>
      </c>
      <c r="E501" t="s">
        <v>32</v>
      </c>
      <c r="F501">
        <v>4</v>
      </c>
      <c r="G501" s="5">
        <v>5.83</v>
      </c>
      <c r="H501" s="6">
        <v>0</v>
      </c>
      <c r="I501" s="5">
        <v>23.32</v>
      </c>
      <c r="J501" s="5">
        <v>12.8</v>
      </c>
      <c r="K501" s="5">
        <v>10.52</v>
      </c>
      <c r="L501" t="s">
        <v>28</v>
      </c>
      <c r="M501" t="s">
        <v>501</v>
      </c>
    </row>
    <row r="502" spans="1:13" x14ac:dyDescent="0.3">
      <c r="A502" t="s">
        <v>559</v>
      </c>
      <c r="B502" s="4">
        <v>45961</v>
      </c>
      <c r="C502" t="s">
        <v>51</v>
      </c>
      <c r="D502" t="s">
        <v>42</v>
      </c>
      <c r="E502" t="s">
        <v>59</v>
      </c>
      <c r="F502">
        <v>2</v>
      </c>
      <c r="G502" s="5">
        <v>167.22</v>
      </c>
      <c r="H502" s="6">
        <v>0</v>
      </c>
      <c r="I502" s="5">
        <v>334.44</v>
      </c>
      <c r="J502" s="5">
        <v>215.88</v>
      </c>
      <c r="K502" s="5">
        <v>118.56</v>
      </c>
      <c r="L502" t="s">
        <v>33</v>
      </c>
      <c r="M502" t="s">
        <v>501</v>
      </c>
    </row>
    <row r="503" spans="1:13" x14ac:dyDescent="0.3">
      <c r="A503" t="s">
        <v>560</v>
      </c>
      <c r="B503" s="4">
        <v>45961</v>
      </c>
      <c r="C503" t="s">
        <v>25</v>
      </c>
      <c r="D503" t="s">
        <v>42</v>
      </c>
      <c r="E503" t="s">
        <v>97</v>
      </c>
      <c r="F503">
        <v>3</v>
      </c>
      <c r="G503" s="5">
        <v>26.45</v>
      </c>
      <c r="H503" s="6">
        <v>0</v>
      </c>
      <c r="I503" s="5">
        <v>79.349999999999994</v>
      </c>
      <c r="J503" s="5">
        <v>44.48</v>
      </c>
      <c r="K503" s="5">
        <v>34.869999999999997</v>
      </c>
      <c r="L503" t="s">
        <v>28</v>
      </c>
      <c r="M503" t="s">
        <v>501</v>
      </c>
    </row>
    <row r="504" spans="1:13" x14ac:dyDescent="0.3">
      <c r="A504" t="s">
        <v>561</v>
      </c>
      <c r="B504" s="4">
        <v>45961</v>
      </c>
      <c r="C504" t="s">
        <v>39</v>
      </c>
      <c r="D504" t="s">
        <v>35</v>
      </c>
      <c r="E504" t="s">
        <v>103</v>
      </c>
      <c r="F504">
        <v>8</v>
      </c>
      <c r="G504" s="5">
        <v>121.79</v>
      </c>
      <c r="H504" s="6">
        <v>0.1</v>
      </c>
      <c r="I504" s="5">
        <v>876.89</v>
      </c>
      <c r="J504" s="5">
        <v>754.47</v>
      </c>
      <c r="K504" s="5">
        <v>122.42</v>
      </c>
      <c r="L504" t="s">
        <v>28</v>
      </c>
      <c r="M504" t="s">
        <v>501</v>
      </c>
    </row>
    <row r="505" spans="1:13" x14ac:dyDescent="0.3">
      <c r="A505" t="s">
        <v>562</v>
      </c>
      <c r="B505" s="4">
        <v>45961</v>
      </c>
      <c r="C505" t="s">
        <v>39</v>
      </c>
      <c r="D505" t="s">
        <v>35</v>
      </c>
      <c r="E505" t="s">
        <v>103</v>
      </c>
      <c r="F505">
        <v>7</v>
      </c>
      <c r="G505" s="5">
        <v>225.87</v>
      </c>
      <c r="H505" s="6">
        <v>0.15</v>
      </c>
      <c r="I505" s="5">
        <v>1343.93</v>
      </c>
      <c r="J505" s="5">
        <v>933.76</v>
      </c>
      <c r="K505" s="5">
        <v>410.17</v>
      </c>
      <c r="L505" t="s">
        <v>28</v>
      </c>
      <c r="M505" t="s">
        <v>501</v>
      </c>
    </row>
    <row r="506" spans="1:13" x14ac:dyDescent="0.3">
      <c r="A506" t="s">
        <v>563</v>
      </c>
      <c r="B506" s="4">
        <v>45961</v>
      </c>
      <c r="C506" t="s">
        <v>51</v>
      </c>
      <c r="D506" t="s">
        <v>35</v>
      </c>
      <c r="E506" t="s">
        <v>45</v>
      </c>
      <c r="F506">
        <v>2</v>
      </c>
      <c r="G506" s="5">
        <v>532.41</v>
      </c>
      <c r="H506" s="6">
        <v>0</v>
      </c>
      <c r="I506" s="5">
        <v>1064.82</v>
      </c>
      <c r="J506" s="5">
        <v>620.85</v>
      </c>
      <c r="K506" s="5">
        <v>443.97</v>
      </c>
      <c r="L506" t="s">
        <v>33</v>
      </c>
      <c r="M506" t="s">
        <v>501</v>
      </c>
    </row>
    <row r="507" spans="1:13" x14ac:dyDescent="0.3">
      <c r="A507" t="s">
        <v>564</v>
      </c>
      <c r="B507" s="4">
        <v>45962</v>
      </c>
      <c r="C507" t="s">
        <v>39</v>
      </c>
      <c r="D507" t="s">
        <v>42</v>
      </c>
      <c r="E507" t="s">
        <v>62</v>
      </c>
      <c r="F507">
        <v>3</v>
      </c>
      <c r="G507" s="5">
        <v>54.23</v>
      </c>
      <c r="H507" s="6">
        <v>0</v>
      </c>
      <c r="I507" s="5">
        <v>162.69</v>
      </c>
      <c r="J507" s="5">
        <v>118.07</v>
      </c>
      <c r="K507" s="5">
        <v>44.62</v>
      </c>
      <c r="L507" t="s">
        <v>37</v>
      </c>
      <c r="M507" t="s">
        <v>565</v>
      </c>
    </row>
    <row r="508" spans="1:13" x14ac:dyDescent="0.3">
      <c r="A508" t="s">
        <v>566</v>
      </c>
      <c r="B508" s="4">
        <v>45963</v>
      </c>
      <c r="C508" t="s">
        <v>25</v>
      </c>
      <c r="D508" t="s">
        <v>42</v>
      </c>
      <c r="E508" t="s">
        <v>59</v>
      </c>
      <c r="F508">
        <v>6</v>
      </c>
      <c r="G508" s="5">
        <v>317.52999999999997</v>
      </c>
      <c r="H508" s="6">
        <v>0</v>
      </c>
      <c r="I508" s="5">
        <v>1905.18</v>
      </c>
      <c r="J508" s="5">
        <v>1152.6199999999999</v>
      </c>
      <c r="K508" s="5">
        <v>752.56</v>
      </c>
      <c r="L508" t="s">
        <v>37</v>
      </c>
      <c r="M508" t="s">
        <v>565</v>
      </c>
    </row>
    <row r="509" spans="1:13" x14ac:dyDescent="0.3">
      <c r="A509" t="s">
        <v>567</v>
      </c>
      <c r="B509" s="4">
        <v>45964</v>
      </c>
      <c r="C509" t="s">
        <v>31</v>
      </c>
      <c r="D509" t="s">
        <v>26</v>
      </c>
      <c r="E509" t="s">
        <v>65</v>
      </c>
      <c r="F509">
        <v>6</v>
      </c>
      <c r="G509" s="5">
        <v>12.64</v>
      </c>
      <c r="H509" s="6">
        <v>0.05</v>
      </c>
      <c r="I509" s="5">
        <v>72.05</v>
      </c>
      <c r="J509" s="5">
        <v>57.86</v>
      </c>
      <c r="K509" s="5">
        <v>14.19</v>
      </c>
      <c r="L509" t="s">
        <v>37</v>
      </c>
      <c r="M509" t="s">
        <v>565</v>
      </c>
    </row>
    <row r="510" spans="1:13" x14ac:dyDescent="0.3">
      <c r="A510" t="s">
        <v>568</v>
      </c>
      <c r="B510" s="4">
        <v>45964</v>
      </c>
      <c r="C510" t="s">
        <v>31</v>
      </c>
      <c r="D510" t="s">
        <v>42</v>
      </c>
      <c r="E510" t="s">
        <v>97</v>
      </c>
      <c r="F510">
        <v>4</v>
      </c>
      <c r="G510" s="5">
        <v>35.89</v>
      </c>
      <c r="H510" s="6">
        <v>0.1</v>
      </c>
      <c r="I510" s="5">
        <v>129.19999999999999</v>
      </c>
      <c r="J510" s="5">
        <v>114.57</v>
      </c>
      <c r="K510" s="5">
        <v>14.63</v>
      </c>
      <c r="L510" t="s">
        <v>33</v>
      </c>
      <c r="M510" t="s">
        <v>565</v>
      </c>
    </row>
    <row r="511" spans="1:13" x14ac:dyDescent="0.3">
      <c r="A511" t="s">
        <v>569</v>
      </c>
      <c r="B511" s="4">
        <v>45964</v>
      </c>
      <c r="C511" t="s">
        <v>51</v>
      </c>
      <c r="D511" t="s">
        <v>35</v>
      </c>
      <c r="E511" t="s">
        <v>40</v>
      </c>
      <c r="F511">
        <v>6</v>
      </c>
      <c r="G511" s="5">
        <v>108.66</v>
      </c>
      <c r="H511" s="6">
        <v>0.05</v>
      </c>
      <c r="I511" s="5">
        <v>619.36</v>
      </c>
      <c r="J511" s="5">
        <v>405.26</v>
      </c>
      <c r="K511" s="5">
        <v>214.1</v>
      </c>
      <c r="L511" t="s">
        <v>28</v>
      </c>
      <c r="M511" t="s">
        <v>565</v>
      </c>
    </row>
    <row r="512" spans="1:13" x14ac:dyDescent="0.3">
      <c r="A512" t="s">
        <v>570</v>
      </c>
      <c r="B512" s="4">
        <v>45965</v>
      </c>
      <c r="C512" t="s">
        <v>31</v>
      </c>
      <c r="D512" t="s">
        <v>26</v>
      </c>
      <c r="E512" t="s">
        <v>53</v>
      </c>
      <c r="F512">
        <v>5</v>
      </c>
      <c r="G512" s="5">
        <v>11.7</v>
      </c>
      <c r="H512" s="6">
        <v>0.05</v>
      </c>
      <c r="I512" s="5">
        <v>55.57</v>
      </c>
      <c r="J512" s="5">
        <v>41.02</v>
      </c>
      <c r="K512" s="5">
        <v>14.55</v>
      </c>
      <c r="L512" t="s">
        <v>28</v>
      </c>
      <c r="M512" t="s">
        <v>565</v>
      </c>
    </row>
    <row r="513" spans="1:13" x14ac:dyDescent="0.3">
      <c r="A513" t="s">
        <v>571</v>
      </c>
      <c r="B513" s="4">
        <v>45965</v>
      </c>
      <c r="C513" t="s">
        <v>39</v>
      </c>
      <c r="D513" t="s">
        <v>42</v>
      </c>
      <c r="E513" t="s">
        <v>97</v>
      </c>
      <c r="F513">
        <v>7</v>
      </c>
      <c r="G513" s="5">
        <v>22.78</v>
      </c>
      <c r="H513" s="6">
        <v>0</v>
      </c>
      <c r="I513" s="5">
        <v>159.46</v>
      </c>
      <c r="J513" s="5">
        <v>110.24</v>
      </c>
      <c r="K513" s="5">
        <v>49.22</v>
      </c>
      <c r="L513" t="s">
        <v>37</v>
      </c>
      <c r="M513" t="s">
        <v>565</v>
      </c>
    </row>
    <row r="514" spans="1:13" x14ac:dyDescent="0.3">
      <c r="A514" t="s">
        <v>572</v>
      </c>
      <c r="B514" s="4">
        <v>45966</v>
      </c>
      <c r="C514" t="s">
        <v>31</v>
      </c>
      <c r="D514" t="s">
        <v>35</v>
      </c>
      <c r="E514" t="s">
        <v>47</v>
      </c>
      <c r="F514">
        <v>3</v>
      </c>
      <c r="G514" s="5">
        <v>297.33</v>
      </c>
      <c r="H514" s="6">
        <v>0</v>
      </c>
      <c r="I514" s="5">
        <v>891.99</v>
      </c>
      <c r="J514" s="5">
        <v>719.62</v>
      </c>
      <c r="K514" s="5">
        <v>172.37</v>
      </c>
      <c r="L514" t="s">
        <v>33</v>
      </c>
      <c r="M514" t="s">
        <v>565</v>
      </c>
    </row>
    <row r="515" spans="1:13" x14ac:dyDescent="0.3">
      <c r="A515" t="s">
        <v>573</v>
      </c>
      <c r="B515" s="4">
        <v>45967</v>
      </c>
      <c r="C515" t="s">
        <v>25</v>
      </c>
      <c r="D515" t="s">
        <v>35</v>
      </c>
      <c r="E515" t="s">
        <v>45</v>
      </c>
      <c r="F515">
        <v>2</v>
      </c>
      <c r="G515" s="5">
        <v>169.68</v>
      </c>
      <c r="H515" s="6">
        <v>0.05</v>
      </c>
      <c r="I515" s="5">
        <v>322.39</v>
      </c>
      <c r="J515" s="5">
        <v>244.87</v>
      </c>
      <c r="K515" s="5">
        <v>77.52</v>
      </c>
      <c r="L515" t="s">
        <v>33</v>
      </c>
      <c r="M515" t="s">
        <v>565</v>
      </c>
    </row>
    <row r="516" spans="1:13" x14ac:dyDescent="0.3">
      <c r="A516" t="s">
        <v>574</v>
      </c>
      <c r="B516" s="4">
        <v>45968</v>
      </c>
      <c r="C516" t="s">
        <v>25</v>
      </c>
      <c r="D516" t="s">
        <v>42</v>
      </c>
      <c r="E516" t="s">
        <v>62</v>
      </c>
      <c r="F516">
        <v>6</v>
      </c>
      <c r="G516" s="5">
        <v>21.32</v>
      </c>
      <c r="H516" s="6">
        <v>0.2</v>
      </c>
      <c r="I516" s="5">
        <v>102.34</v>
      </c>
      <c r="J516" s="5">
        <v>88.99</v>
      </c>
      <c r="K516" s="5">
        <v>13.35</v>
      </c>
      <c r="L516" t="s">
        <v>28</v>
      </c>
      <c r="M516" t="s">
        <v>565</v>
      </c>
    </row>
    <row r="517" spans="1:13" x14ac:dyDescent="0.3">
      <c r="A517" t="s">
        <v>575</v>
      </c>
      <c r="B517" s="4">
        <v>45968</v>
      </c>
      <c r="C517" t="s">
        <v>51</v>
      </c>
      <c r="D517" t="s">
        <v>26</v>
      </c>
      <c r="E517" t="s">
        <v>65</v>
      </c>
      <c r="F517">
        <v>4</v>
      </c>
      <c r="G517" s="5">
        <v>16.63</v>
      </c>
      <c r="H517" s="6">
        <v>0.15</v>
      </c>
      <c r="I517" s="5">
        <v>56.54</v>
      </c>
      <c r="J517" s="5">
        <v>44.07</v>
      </c>
      <c r="K517" s="5">
        <v>12.47</v>
      </c>
      <c r="L517" t="s">
        <v>33</v>
      </c>
      <c r="M517" t="s">
        <v>565</v>
      </c>
    </row>
    <row r="518" spans="1:13" x14ac:dyDescent="0.3">
      <c r="A518" t="s">
        <v>576</v>
      </c>
      <c r="B518" s="4">
        <v>45969</v>
      </c>
      <c r="C518" t="s">
        <v>51</v>
      </c>
      <c r="D518" t="s">
        <v>35</v>
      </c>
      <c r="E518" t="s">
        <v>36</v>
      </c>
      <c r="F518">
        <v>2</v>
      </c>
      <c r="G518" s="5">
        <v>221.45</v>
      </c>
      <c r="H518" s="6">
        <v>0.2</v>
      </c>
      <c r="I518" s="5">
        <v>354.32</v>
      </c>
      <c r="J518" s="5">
        <v>260.06</v>
      </c>
      <c r="K518" s="5">
        <v>94.26</v>
      </c>
      <c r="L518" t="s">
        <v>33</v>
      </c>
      <c r="M518" t="s">
        <v>565</v>
      </c>
    </row>
    <row r="519" spans="1:13" x14ac:dyDescent="0.3">
      <c r="A519" t="s">
        <v>577</v>
      </c>
      <c r="B519" s="4">
        <v>45970</v>
      </c>
      <c r="C519" t="s">
        <v>39</v>
      </c>
      <c r="D519" t="s">
        <v>42</v>
      </c>
      <c r="E519" t="s">
        <v>62</v>
      </c>
      <c r="F519">
        <v>7</v>
      </c>
      <c r="G519" s="5">
        <v>41.53</v>
      </c>
      <c r="H519" s="6">
        <v>0</v>
      </c>
      <c r="I519" s="5">
        <v>290.70999999999998</v>
      </c>
      <c r="J519" s="5">
        <v>198.9</v>
      </c>
      <c r="K519" s="5">
        <v>91.81</v>
      </c>
      <c r="L519" t="s">
        <v>28</v>
      </c>
      <c r="M519" t="s">
        <v>565</v>
      </c>
    </row>
    <row r="520" spans="1:13" x14ac:dyDescent="0.3">
      <c r="A520" t="s">
        <v>578</v>
      </c>
      <c r="B520" s="4">
        <v>45970</v>
      </c>
      <c r="C520" t="s">
        <v>39</v>
      </c>
      <c r="D520" t="s">
        <v>42</v>
      </c>
      <c r="E520" t="s">
        <v>72</v>
      </c>
      <c r="F520">
        <v>8</v>
      </c>
      <c r="G520" s="5">
        <v>1141.42</v>
      </c>
      <c r="H520" s="6">
        <v>0</v>
      </c>
      <c r="I520" s="5">
        <v>9131.36</v>
      </c>
      <c r="J520" s="5">
        <v>5211.6400000000003</v>
      </c>
      <c r="K520" s="5">
        <v>3919.72</v>
      </c>
      <c r="L520" t="s">
        <v>28</v>
      </c>
      <c r="M520" t="s">
        <v>565</v>
      </c>
    </row>
    <row r="521" spans="1:13" x14ac:dyDescent="0.3">
      <c r="A521" t="s">
        <v>579</v>
      </c>
      <c r="B521" s="4">
        <v>45970</v>
      </c>
      <c r="C521" t="s">
        <v>31</v>
      </c>
      <c r="D521" t="s">
        <v>26</v>
      </c>
      <c r="E521" t="s">
        <v>53</v>
      </c>
      <c r="F521">
        <v>4</v>
      </c>
      <c r="G521" s="5">
        <v>5.27</v>
      </c>
      <c r="H521" s="6">
        <v>0.05</v>
      </c>
      <c r="I521" s="5">
        <v>20.03</v>
      </c>
      <c r="J521" s="5">
        <v>12.57</v>
      </c>
      <c r="K521" s="5">
        <v>7.46</v>
      </c>
      <c r="L521" t="s">
        <v>28</v>
      </c>
      <c r="M521" t="s">
        <v>565</v>
      </c>
    </row>
    <row r="522" spans="1:13" x14ac:dyDescent="0.3">
      <c r="A522" t="s">
        <v>580</v>
      </c>
      <c r="B522" s="4">
        <v>45971</v>
      </c>
      <c r="C522" t="s">
        <v>31</v>
      </c>
      <c r="D522" t="s">
        <v>26</v>
      </c>
      <c r="E522" t="s">
        <v>27</v>
      </c>
      <c r="F522">
        <v>5</v>
      </c>
      <c r="G522" s="5">
        <v>6</v>
      </c>
      <c r="H522" s="6">
        <v>0.05</v>
      </c>
      <c r="I522" s="5">
        <v>28.5</v>
      </c>
      <c r="J522" s="5">
        <v>20.3</v>
      </c>
      <c r="K522" s="5">
        <v>8.1999999999999993</v>
      </c>
      <c r="L522" t="s">
        <v>33</v>
      </c>
      <c r="M522" t="s">
        <v>565</v>
      </c>
    </row>
    <row r="523" spans="1:13" x14ac:dyDescent="0.3">
      <c r="A523" t="s">
        <v>581</v>
      </c>
      <c r="B523" s="4">
        <v>45971</v>
      </c>
      <c r="C523" t="s">
        <v>25</v>
      </c>
      <c r="D523" t="s">
        <v>26</v>
      </c>
      <c r="E523" t="s">
        <v>65</v>
      </c>
      <c r="F523">
        <v>7</v>
      </c>
      <c r="G523" s="5">
        <v>5.92</v>
      </c>
      <c r="H523" s="6">
        <v>0.15</v>
      </c>
      <c r="I523" s="5">
        <v>35.22</v>
      </c>
      <c r="J523" s="5">
        <v>27.39</v>
      </c>
      <c r="K523" s="5">
        <v>7.83</v>
      </c>
      <c r="L523" t="s">
        <v>37</v>
      </c>
      <c r="M523" t="s">
        <v>565</v>
      </c>
    </row>
    <row r="524" spans="1:13" x14ac:dyDescent="0.3">
      <c r="A524" t="s">
        <v>582</v>
      </c>
      <c r="B524" s="4">
        <v>45973</v>
      </c>
      <c r="C524" t="s">
        <v>31</v>
      </c>
      <c r="D524" t="s">
        <v>26</v>
      </c>
      <c r="E524" t="s">
        <v>27</v>
      </c>
      <c r="F524">
        <v>6</v>
      </c>
      <c r="G524" s="5">
        <v>11.77</v>
      </c>
      <c r="H524" s="6">
        <v>0</v>
      </c>
      <c r="I524" s="5">
        <v>70.62</v>
      </c>
      <c r="J524" s="5">
        <v>40.159999999999997</v>
      </c>
      <c r="K524" s="5">
        <v>30.46</v>
      </c>
      <c r="L524" t="s">
        <v>33</v>
      </c>
      <c r="M524" t="s">
        <v>565</v>
      </c>
    </row>
    <row r="525" spans="1:13" x14ac:dyDescent="0.3">
      <c r="A525" t="s">
        <v>583</v>
      </c>
      <c r="B525" s="4">
        <v>45974</v>
      </c>
      <c r="C525" t="s">
        <v>31</v>
      </c>
      <c r="D525" t="s">
        <v>26</v>
      </c>
      <c r="E525" t="s">
        <v>32</v>
      </c>
      <c r="F525">
        <v>6</v>
      </c>
      <c r="G525" s="5">
        <v>14.9</v>
      </c>
      <c r="H525" s="6">
        <v>0.1</v>
      </c>
      <c r="I525" s="5">
        <v>80.459999999999994</v>
      </c>
      <c r="J525" s="5">
        <v>54.57</v>
      </c>
      <c r="K525" s="5">
        <v>25.89</v>
      </c>
      <c r="L525" t="s">
        <v>33</v>
      </c>
      <c r="M525" t="s">
        <v>565</v>
      </c>
    </row>
    <row r="526" spans="1:13" x14ac:dyDescent="0.3">
      <c r="A526" t="s">
        <v>584</v>
      </c>
      <c r="B526" s="4">
        <v>45974</v>
      </c>
      <c r="C526" t="s">
        <v>51</v>
      </c>
      <c r="D526" t="s">
        <v>26</v>
      </c>
      <c r="E526" t="s">
        <v>68</v>
      </c>
      <c r="F526">
        <v>7</v>
      </c>
      <c r="G526" s="5">
        <v>3.34</v>
      </c>
      <c r="H526" s="6">
        <v>0.05</v>
      </c>
      <c r="I526" s="5">
        <v>22.21</v>
      </c>
      <c r="J526" s="5">
        <v>12.54</v>
      </c>
      <c r="K526" s="5">
        <v>9.67</v>
      </c>
      <c r="L526" t="s">
        <v>37</v>
      </c>
      <c r="M526" t="s">
        <v>565</v>
      </c>
    </row>
    <row r="527" spans="1:13" x14ac:dyDescent="0.3">
      <c r="A527" t="s">
        <v>585</v>
      </c>
      <c r="B527" s="4">
        <v>45977</v>
      </c>
      <c r="C527" t="s">
        <v>25</v>
      </c>
      <c r="D527" t="s">
        <v>35</v>
      </c>
      <c r="E527" t="s">
        <v>47</v>
      </c>
      <c r="F527">
        <v>2</v>
      </c>
      <c r="G527" s="5">
        <v>360.03</v>
      </c>
      <c r="H527" s="6">
        <v>0.1</v>
      </c>
      <c r="I527" s="5">
        <v>648.04999999999995</v>
      </c>
      <c r="J527" s="5">
        <v>434.53</v>
      </c>
      <c r="K527" s="5">
        <v>213.52</v>
      </c>
      <c r="L527" t="s">
        <v>33</v>
      </c>
      <c r="M527" t="s">
        <v>565</v>
      </c>
    </row>
    <row r="528" spans="1:13" x14ac:dyDescent="0.3">
      <c r="A528" t="s">
        <v>586</v>
      </c>
      <c r="B528" s="4">
        <v>45977</v>
      </c>
      <c r="C528" t="s">
        <v>39</v>
      </c>
      <c r="D528" t="s">
        <v>42</v>
      </c>
      <c r="E528" t="s">
        <v>59</v>
      </c>
      <c r="F528">
        <v>2</v>
      </c>
      <c r="G528" s="5">
        <v>242.93</v>
      </c>
      <c r="H528" s="6">
        <v>0.1</v>
      </c>
      <c r="I528" s="5">
        <v>437.27</v>
      </c>
      <c r="J528" s="5">
        <v>379.11</v>
      </c>
      <c r="K528" s="5">
        <v>58.16</v>
      </c>
      <c r="L528" t="s">
        <v>33</v>
      </c>
      <c r="M528" t="s">
        <v>565</v>
      </c>
    </row>
    <row r="529" spans="1:13" x14ac:dyDescent="0.3">
      <c r="A529" t="s">
        <v>587</v>
      </c>
      <c r="B529" s="4">
        <v>45979</v>
      </c>
      <c r="C529" t="s">
        <v>39</v>
      </c>
      <c r="D529" t="s">
        <v>42</v>
      </c>
      <c r="E529" t="s">
        <v>43</v>
      </c>
      <c r="F529">
        <v>1</v>
      </c>
      <c r="G529" s="5">
        <v>84.05</v>
      </c>
      <c r="H529" s="6">
        <v>0.05</v>
      </c>
      <c r="I529" s="5">
        <v>79.849999999999994</v>
      </c>
      <c r="J529" s="5">
        <v>54.61</v>
      </c>
      <c r="K529" s="5">
        <v>25.24</v>
      </c>
      <c r="L529" t="s">
        <v>33</v>
      </c>
      <c r="M529" t="s">
        <v>565</v>
      </c>
    </row>
    <row r="530" spans="1:13" x14ac:dyDescent="0.3">
      <c r="A530" t="s">
        <v>588</v>
      </c>
      <c r="B530" s="4">
        <v>45981</v>
      </c>
      <c r="C530" t="s">
        <v>31</v>
      </c>
      <c r="D530" t="s">
        <v>35</v>
      </c>
      <c r="E530" t="s">
        <v>45</v>
      </c>
      <c r="F530">
        <v>3</v>
      </c>
      <c r="G530" s="5">
        <v>383.23</v>
      </c>
      <c r="H530" s="6">
        <v>0</v>
      </c>
      <c r="I530" s="5">
        <v>1149.69</v>
      </c>
      <c r="J530" s="5">
        <v>606.20000000000005</v>
      </c>
      <c r="K530" s="5">
        <v>543.49</v>
      </c>
      <c r="L530" t="s">
        <v>37</v>
      </c>
      <c r="M530" t="s">
        <v>565</v>
      </c>
    </row>
    <row r="531" spans="1:13" x14ac:dyDescent="0.3">
      <c r="A531" t="s">
        <v>589</v>
      </c>
      <c r="B531" s="4">
        <v>45982</v>
      </c>
      <c r="C531" t="s">
        <v>31</v>
      </c>
      <c r="D531" t="s">
        <v>42</v>
      </c>
      <c r="E531" t="s">
        <v>97</v>
      </c>
      <c r="F531">
        <v>3</v>
      </c>
      <c r="G531" s="5">
        <v>62.46</v>
      </c>
      <c r="H531" s="6">
        <v>0</v>
      </c>
      <c r="I531" s="5">
        <v>187.38</v>
      </c>
      <c r="J531" s="5">
        <v>126.69</v>
      </c>
      <c r="K531" s="5">
        <v>60.69</v>
      </c>
      <c r="L531" t="s">
        <v>37</v>
      </c>
      <c r="M531" t="s">
        <v>565</v>
      </c>
    </row>
    <row r="532" spans="1:13" x14ac:dyDescent="0.3">
      <c r="A532" t="s">
        <v>590</v>
      </c>
      <c r="B532" s="4">
        <v>45982</v>
      </c>
      <c r="C532" t="s">
        <v>25</v>
      </c>
      <c r="D532" t="s">
        <v>42</v>
      </c>
      <c r="E532" t="s">
        <v>43</v>
      </c>
      <c r="F532">
        <v>7</v>
      </c>
      <c r="G532" s="5">
        <v>93.39</v>
      </c>
      <c r="H532" s="6">
        <v>0</v>
      </c>
      <c r="I532" s="5">
        <v>653.73</v>
      </c>
      <c r="J532" s="5">
        <v>377</v>
      </c>
      <c r="K532" s="5">
        <v>276.73</v>
      </c>
      <c r="L532" t="s">
        <v>28</v>
      </c>
      <c r="M532" t="s">
        <v>565</v>
      </c>
    </row>
    <row r="533" spans="1:13" x14ac:dyDescent="0.3">
      <c r="A533" t="s">
        <v>591</v>
      </c>
      <c r="B533" s="4">
        <v>45983</v>
      </c>
      <c r="C533" t="s">
        <v>25</v>
      </c>
      <c r="D533" t="s">
        <v>35</v>
      </c>
      <c r="E533" t="s">
        <v>103</v>
      </c>
      <c r="F533">
        <v>5</v>
      </c>
      <c r="G533" s="5">
        <v>286.98</v>
      </c>
      <c r="H533" s="6">
        <v>0</v>
      </c>
      <c r="I533" s="5">
        <v>1434.9</v>
      </c>
      <c r="J533" s="5">
        <v>1088.71</v>
      </c>
      <c r="K533" s="5">
        <v>346.19</v>
      </c>
      <c r="L533" t="s">
        <v>33</v>
      </c>
      <c r="M533" t="s">
        <v>565</v>
      </c>
    </row>
    <row r="534" spans="1:13" x14ac:dyDescent="0.3">
      <c r="A534" t="s">
        <v>592</v>
      </c>
      <c r="B534" s="4">
        <v>45983</v>
      </c>
      <c r="C534" t="s">
        <v>25</v>
      </c>
      <c r="D534" t="s">
        <v>35</v>
      </c>
      <c r="E534" t="s">
        <v>45</v>
      </c>
      <c r="F534">
        <v>5</v>
      </c>
      <c r="G534" s="5">
        <v>208.23</v>
      </c>
      <c r="H534" s="6">
        <v>0</v>
      </c>
      <c r="I534" s="5">
        <v>1041.1500000000001</v>
      </c>
      <c r="J534" s="5">
        <v>555.44000000000005</v>
      </c>
      <c r="K534" s="5">
        <v>485.71</v>
      </c>
      <c r="L534" t="s">
        <v>33</v>
      </c>
      <c r="M534" t="s">
        <v>565</v>
      </c>
    </row>
    <row r="535" spans="1:13" x14ac:dyDescent="0.3">
      <c r="A535" t="s">
        <v>593</v>
      </c>
      <c r="B535" s="4">
        <v>45983</v>
      </c>
      <c r="C535" t="s">
        <v>51</v>
      </c>
      <c r="D535" t="s">
        <v>35</v>
      </c>
      <c r="E535" t="s">
        <v>103</v>
      </c>
      <c r="F535">
        <v>8</v>
      </c>
      <c r="G535" s="5">
        <v>177</v>
      </c>
      <c r="H535" s="6">
        <v>0</v>
      </c>
      <c r="I535" s="5">
        <v>1416</v>
      </c>
      <c r="J535" s="5">
        <v>1081.48</v>
      </c>
      <c r="K535" s="5">
        <v>334.52</v>
      </c>
      <c r="L535" t="s">
        <v>33</v>
      </c>
      <c r="M535" t="s">
        <v>565</v>
      </c>
    </row>
    <row r="536" spans="1:13" x14ac:dyDescent="0.3">
      <c r="A536" t="s">
        <v>594</v>
      </c>
      <c r="B536" s="4">
        <v>45983</v>
      </c>
      <c r="C536" t="s">
        <v>31</v>
      </c>
      <c r="D536" t="s">
        <v>35</v>
      </c>
      <c r="E536" t="s">
        <v>40</v>
      </c>
      <c r="F536">
        <v>3</v>
      </c>
      <c r="G536" s="5">
        <v>297.57</v>
      </c>
      <c r="H536" s="6">
        <v>0.2</v>
      </c>
      <c r="I536" s="5">
        <v>714.17</v>
      </c>
      <c r="J536" s="5">
        <v>698.62</v>
      </c>
      <c r="K536" s="5">
        <v>15.55</v>
      </c>
      <c r="L536" t="s">
        <v>33</v>
      </c>
      <c r="M536" t="s">
        <v>565</v>
      </c>
    </row>
    <row r="537" spans="1:13" x14ac:dyDescent="0.3">
      <c r="A537" t="s">
        <v>595</v>
      </c>
      <c r="B537" s="4">
        <v>45984</v>
      </c>
      <c r="C537" t="s">
        <v>51</v>
      </c>
      <c r="D537" t="s">
        <v>42</v>
      </c>
      <c r="E537" t="s">
        <v>59</v>
      </c>
      <c r="F537">
        <v>2</v>
      </c>
      <c r="G537" s="5">
        <v>207.47</v>
      </c>
      <c r="H537" s="6">
        <v>0</v>
      </c>
      <c r="I537" s="5">
        <v>414.94</v>
      </c>
      <c r="J537" s="5">
        <v>218.28</v>
      </c>
      <c r="K537" s="5">
        <v>196.66</v>
      </c>
      <c r="L537" t="s">
        <v>28</v>
      </c>
      <c r="M537" t="s">
        <v>565</v>
      </c>
    </row>
    <row r="538" spans="1:13" x14ac:dyDescent="0.3">
      <c r="A538" t="s">
        <v>596</v>
      </c>
      <c r="B538" s="4">
        <v>45984</v>
      </c>
      <c r="C538" t="s">
        <v>31</v>
      </c>
      <c r="D538" t="s">
        <v>42</v>
      </c>
      <c r="E538" t="s">
        <v>43</v>
      </c>
      <c r="F538">
        <v>7</v>
      </c>
      <c r="G538" s="5">
        <v>124.69</v>
      </c>
      <c r="H538" s="6">
        <v>0.1</v>
      </c>
      <c r="I538" s="5">
        <v>785.55</v>
      </c>
      <c r="J538" s="5">
        <v>524.69000000000005</v>
      </c>
      <c r="K538" s="5">
        <v>260.86</v>
      </c>
      <c r="L538" t="s">
        <v>33</v>
      </c>
      <c r="M538" t="s">
        <v>565</v>
      </c>
    </row>
    <row r="539" spans="1:13" x14ac:dyDescent="0.3">
      <c r="A539" t="s">
        <v>597</v>
      </c>
      <c r="B539" s="4">
        <v>45985</v>
      </c>
      <c r="C539" t="s">
        <v>31</v>
      </c>
      <c r="D539" t="s">
        <v>26</v>
      </c>
      <c r="E539" t="s">
        <v>27</v>
      </c>
      <c r="F539">
        <v>1</v>
      </c>
      <c r="G539" s="5">
        <v>14.88</v>
      </c>
      <c r="H539" s="6">
        <v>0.1</v>
      </c>
      <c r="I539" s="5">
        <v>13.39</v>
      </c>
      <c r="J539" s="5">
        <v>9.4</v>
      </c>
      <c r="K539" s="5">
        <v>3.99</v>
      </c>
      <c r="L539" t="s">
        <v>28</v>
      </c>
      <c r="M539" t="s">
        <v>565</v>
      </c>
    </row>
    <row r="540" spans="1:13" x14ac:dyDescent="0.3">
      <c r="A540" t="s">
        <v>598</v>
      </c>
      <c r="B540" s="4">
        <v>45985</v>
      </c>
      <c r="C540" t="s">
        <v>39</v>
      </c>
      <c r="D540" t="s">
        <v>35</v>
      </c>
      <c r="E540" t="s">
        <v>36</v>
      </c>
      <c r="F540">
        <v>6</v>
      </c>
      <c r="G540" s="5">
        <v>135.25</v>
      </c>
      <c r="H540" s="6">
        <v>0</v>
      </c>
      <c r="I540" s="5">
        <v>811.5</v>
      </c>
      <c r="J540" s="5">
        <v>446.31</v>
      </c>
      <c r="K540" s="5">
        <v>365.19</v>
      </c>
      <c r="L540" t="s">
        <v>37</v>
      </c>
      <c r="M540" t="s">
        <v>565</v>
      </c>
    </row>
    <row r="541" spans="1:13" x14ac:dyDescent="0.3">
      <c r="A541" t="s">
        <v>599</v>
      </c>
      <c r="B541" s="4">
        <v>45986</v>
      </c>
      <c r="C541" t="s">
        <v>51</v>
      </c>
      <c r="D541" t="s">
        <v>26</v>
      </c>
      <c r="E541" t="s">
        <v>68</v>
      </c>
      <c r="F541">
        <v>4</v>
      </c>
      <c r="G541" s="5">
        <v>11.53</v>
      </c>
      <c r="H541" s="6">
        <v>0.1</v>
      </c>
      <c r="I541" s="5">
        <v>41.51</v>
      </c>
      <c r="J541" s="5">
        <v>25.59</v>
      </c>
      <c r="K541" s="5">
        <v>15.92</v>
      </c>
      <c r="L541" t="s">
        <v>37</v>
      </c>
      <c r="M541" t="s">
        <v>565</v>
      </c>
    </row>
    <row r="542" spans="1:13" x14ac:dyDescent="0.3">
      <c r="A542" t="s">
        <v>600</v>
      </c>
      <c r="B542" s="4">
        <v>45987</v>
      </c>
      <c r="C542" t="s">
        <v>51</v>
      </c>
      <c r="D542" t="s">
        <v>35</v>
      </c>
      <c r="E542" t="s">
        <v>40</v>
      </c>
      <c r="F542">
        <v>1</v>
      </c>
      <c r="G542" s="5">
        <v>97.34</v>
      </c>
      <c r="H542" s="6">
        <v>0.1</v>
      </c>
      <c r="I542" s="5">
        <v>87.61</v>
      </c>
      <c r="J542" s="5">
        <v>60.65</v>
      </c>
      <c r="K542" s="5">
        <v>26.96</v>
      </c>
      <c r="L542" t="s">
        <v>37</v>
      </c>
      <c r="M542" t="s">
        <v>565</v>
      </c>
    </row>
    <row r="543" spans="1:13" x14ac:dyDescent="0.3">
      <c r="A543" t="s">
        <v>601</v>
      </c>
      <c r="B543" s="4">
        <v>45987</v>
      </c>
      <c r="C543" t="s">
        <v>39</v>
      </c>
      <c r="D543" t="s">
        <v>42</v>
      </c>
      <c r="E543" t="s">
        <v>72</v>
      </c>
      <c r="F543">
        <v>2</v>
      </c>
      <c r="G543" s="5">
        <v>888.12</v>
      </c>
      <c r="H543" s="6">
        <v>0</v>
      </c>
      <c r="I543" s="5">
        <v>1776.24</v>
      </c>
      <c r="J543" s="5">
        <v>1419</v>
      </c>
      <c r="K543" s="5">
        <v>357.24</v>
      </c>
      <c r="L543" t="s">
        <v>33</v>
      </c>
      <c r="M543" t="s">
        <v>565</v>
      </c>
    </row>
    <row r="544" spans="1:13" x14ac:dyDescent="0.3">
      <c r="A544" t="s">
        <v>602</v>
      </c>
      <c r="B544" s="4">
        <v>45988</v>
      </c>
      <c r="C544" t="s">
        <v>25</v>
      </c>
      <c r="D544" t="s">
        <v>26</v>
      </c>
      <c r="E544" t="s">
        <v>27</v>
      </c>
      <c r="F544">
        <v>6</v>
      </c>
      <c r="G544" s="5">
        <v>13.69</v>
      </c>
      <c r="H544" s="6">
        <v>0.1</v>
      </c>
      <c r="I544" s="5">
        <v>73.930000000000007</v>
      </c>
      <c r="J544" s="5">
        <v>59.27</v>
      </c>
      <c r="K544" s="5">
        <v>14.66</v>
      </c>
      <c r="L544" t="s">
        <v>33</v>
      </c>
      <c r="M544" t="s">
        <v>565</v>
      </c>
    </row>
    <row r="545" spans="1:13" x14ac:dyDescent="0.3">
      <c r="A545" t="s">
        <v>603</v>
      </c>
      <c r="B545" s="4">
        <v>45988</v>
      </c>
      <c r="C545" t="s">
        <v>31</v>
      </c>
      <c r="D545" t="s">
        <v>35</v>
      </c>
      <c r="E545" t="s">
        <v>47</v>
      </c>
      <c r="F545">
        <v>4</v>
      </c>
      <c r="G545" s="5">
        <v>90.54</v>
      </c>
      <c r="H545" s="6">
        <v>0</v>
      </c>
      <c r="I545" s="5">
        <v>362.16</v>
      </c>
      <c r="J545" s="5">
        <v>266.99</v>
      </c>
      <c r="K545" s="5">
        <v>95.17</v>
      </c>
      <c r="L545" t="s">
        <v>37</v>
      </c>
      <c r="M545" t="s">
        <v>565</v>
      </c>
    </row>
    <row r="546" spans="1:13" x14ac:dyDescent="0.3">
      <c r="A546" t="s">
        <v>604</v>
      </c>
      <c r="B546" s="4">
        <v>45989</v>
      </c>
      <c r="C546" t="s">
        <v>51</v>
      </c>
      <c r="D546" t="s">
        <v>35</v>
      </c>
      <c r="E546" t="s">
        <v>47</v>
      </c>
      <c r="F546">
        <v>2</v>
      </c>
      <c r="G546" s="5">
        <v>308.35000000000002</v>
      </c>
      <c r="H546" s="6">
        <v>0.2</v>
      </c>
      <c r="I546" s="5">
        <v>493.36</v>
      </c>
      <c r="J546" s="5">
        <v>383.87</v>
      </c>
      <c r="K546" s="5">
        <v>109.49</v>
      </c>
      <c r="L546" t="s">
        <v>33</v>
      </c>
      <c r="M546" t="s">
        <v>565</v>
      </c>
    </row>
    <row r="547" spans="1:13" x14ac:dyDescent="0.3">
      <c r="A547" t="s">
        <v>605</v>
      </c>
      <c r="B547" s="4">
        <v>45992</v>
      </c>
      <c r="C547" t="s">
        <v>25</v>
      </c>
      <c r="D547" t="s">
        <v>26</v>
      </c>
      <c r="E547" t="s">
        <v>68</v>
      </c>
      <c r="F547">
        <v>7</v>
      </c>
      <c r="G547" s="5">
        <v>4.57</v>
      </c>
      <c r="H547" s="6">
        <v>0.1</v>
      </c>
      <c r="I547" s="5">
        <v>28.79</v>
      </c>
      <c r="J547" s="5">
        <v>17.34</v>
      </c>
      <c r="K547" s="5">
        <v>11.45</v>
      </c>
      <c r="L547" t="s">
        <v>28</v>
      </c>
      <c r="M547" t="s">
        <v>606</v>
      </c>
    </row>
    <row r="548" spans="1:13" x14ac:dyDescent="0.3">
      <c r="A548" t="s">
        <v>607</v>
      </c>
      <c r="B548" s="4">
        <v>45992</v>
      </c>
      <c r="C548" t="s">
        <v>31</v>
      </c>
      <c r="D548" t="s">
        <v>42</v>
      </c>
      <c r="E548" t="s">
        <v>43</v>
      </c>
      <c r="F548">
        <v>3</v>
      </c>
      <c r="G548" s="5">
        <v>76.25</v>
      </c>
      <c r="H548" s="6">
        <v>0</v>
      </c>
      <c r="I548" s="5">
        <v>228.75</v>
      </c>
      <c r="J548" s="5">
        <v>131.9</v>
      </c>
      <c r="K548" s="5">
        <v>96.85</v>
      </c>
      <c r="L548" t="s">
        <v>37</v>
      </c>
      <c r="M548" t="s">
        <v>606</v>
      </c>
    </row>
    <row r="549" spans="1:13" x14ac:dyDescent="0.3">
      <c r="A549" t="s">
        <v>608</v>
      </c>
      <c r="B549" s="4">
        <v>45992</v>
      </c>
      <c r="C549" t="s">
        <v>31</v>
      </c>
      <c r="D549" t="s">
        <v>35</v>
      </c>
      <c r="E549" t="s">
        <v>47</v>
      </c>
      <c r="F549">
        <v>1</v>
      </c>
      <c r="G549" s="5">
        <v>376.62</v>
      </c>
      <c r="H549" s="6">
        <v>0.05</v>
      </c>
      <c r="I549" s="5">
        <v>357.79</v>
      </c>
      <c r="J549" s="5">
        <v>259.73</v>
      </c>
      <c r="K549" s="5">
        <v>98.06</v>
      </c>
      <c r="L549" t="s">
        <v>37</v>
      </c>
      <c r="M549" t="s">
        <v>606</v>
      </c>
    </row>
    <row r="550" spans="1:13" x14ac:dyDescent="0.3">
      <c r="A550" t="s">
        <v>609</v>
      </c>
      <c r="B550" s="4">
        <v>45994</v>
      </c>
      <c r="C550" t="s">
        <v>25</v>
      </c>
      <c r="D550" t="s">
        <v>26</v>
      </c>
      <c r="E550" t="s">
        <v>27</v>
      </c>
      <c r="F550">
        <v>6</v>
      </c>
      <c r="G550" s="5">
        <v>15.04</v>
      </c>
      <c r="H550" s="6">
        <v>0.1</v>
      </c>
      <c r="I550" s="5">
        <v>81.22</v>
      </c>
      <c r="J550" s="5">
        <v>71.7</v>
      </c>
      <c r="K550" s="5">
        <v>9.52</v>
      </c>
      <c r="L550" t="s">
        <v>33</v>
      </c>
      <c r="M550" t="s">
        <v>606</v>
      </c>
    </row>
    <row r="551" spans="1:13" x14ac:dyDescent="0.3">
      <c r="A551" t="s">
        <v>610</v>
      </c>
      <c r="B551" s="4">
        <v>45994</v>
      </c>
      <c r="C551" t="s">
        <v>31</v>
      </c>
      <c r="D551" t="s">
        <v>42</v>
      </c>
      <c r="E551" t="s">
        <v>97</v>
      </c>
      <c r="F551">
        <v>8</v>
      </c>
      <c r="G551" s="5">
        <v>21.27</v>
      </c>
      <c r="H551" s="6">
        <v>0</v>
      </c>
      <c r="I551" s="5">
        <v>170.16</v>
      </c>
      <c r="J551" s="5">
        <v>113.89</v>
      </c>
      <c r="K551" s="5">
        <v>56.27</v>
      </c>
      <c r="L551" t="s">
        <v>37</v>
      </c>
      <c r="M551" t="s">
        <v>606</v>
      </c>
    </row>
    <row r="552" spans="1:13" x14ac:dyDescent="0.3">
      <c r="A552" t="s">
        <v>611</v>
      </c>
      <c r="B552" s="4">
        <v>45995</v>
      </c>
      <c r="C552" t="s">
        <v>51</v>
      </c>
      <c r="D552" t="s">
        <v>26</v>
      </c>
      <c r="E552" t="s">
        <v>53</v>
      </c>
      <c r="F552">
        <v>5</v>
      </c>
      <c r="G552" s="5">
        <v>10.1</v>
      </c>
      <c r="H552" s="6">
        <v>0.05</v>
      </c>
      <c r="I552" s="5">
        <v>47.97</v>
      </c>
      <c r="J552" s="5">
        <v>36.65</v>
      </c>
      <c r="K552" s="5">
        <v>11.32</v>
      </c>
      <c r="L552" t="s">
        <v>37</v>
      </c>
      <c r="M552" t="s">
        <v>606</v>
      </c>
    </row>
    <row r="553" spans="1:13" x14ac:dyDescent="0.3">
      <c r="A553" t="s">
        <v>612</v>
      </c>
      <c r="B553" s="4">
        <v>45995</v>
      </c>
      <c r="C553" t="s">
        <v>51</v>
      </c>
      <c r="D553" t="s">
        <v>35</v>
      </c>
      <c r="E553" t="s">
        <v>40</v>
      </c>
      <c r="F553">
        <v>1</v>
      </c>
      <c r="G553" s="5">
        <v>129.91999999999999</v>
      </c>
      <c r="H553" s="6">
        <v>0.1</v>
      </c>
      <c r="I553" s="5">
        <v>116.93</v>
      </c>
      <c r="J553" s="5">
        <v>93.01</v>
      </c>
      <c r="K553" s="5">
        <v>23.92</v>
      </c>
      <c r="L553" t="s">
        <v>37</v>
      </c>
      <c r="M553" t="s">
        <v>606</v>
      </c>
    </row>
    <row r="554" spans="1:13" x14ac:dyDescent="0.3">
      <c r="A554" t="s">
        <v>613</v>
      </c>
      <c r="B554" s="4">
        <v>45995</v>
      </c>
      <c r="C554" t="s">
        <v>39</v>
      </c>
      <c r="D554" t="s">
        <v>26</v>
      </c>
      <c r="E554" t="s">
        <v>68</v>
      </c>
      <c r="F554">
        <v>1</v>
      </c>
      <c r="G554" s="5">
        <v>9.6199999999999992</v>
      </c>
      <c r="H554" s="6">
        <v>0.2</v>
      </c>
      <c r="I554" s="5">
        <v>7.7</v>
      </c>
      <c r="J554" s="5">
        <v>5.13</v>
      </c>
      <c r="K554" s="5">
        <v>2.57</v>
      </c>
      <c r="L554" t="s">
        <v>28</v>
      </c>
      <c r="M554" t="s">
        <v>606</v>
      </c>
    </row>
    <row r="555" spans="1:13" x14ac:dyDescent="0.3">
      <c r="A555" t="s">
        <v>614</v>
      </c>
      <c r="B555" s="4">
        <v>45995</v>
      </c>
      <c r="C555" t="s">
        <v>51</v>
      </c>
      <c r="D555" t="s">
        <v>42</v>
      </c>
      <c r="E555" t="s">
        <v>62</v>
      </c>
      <c r="F555">
        <v>2</v>
      </c>
      <c r="G555" s="5">
        <v>28.97</v>
      </c>
      <c r="H555" s="6">
        <v>0.05</v>
      </c>
      <c r="I555" s="5">
        <v>55.04</v>
      </c>
      <c r="J555" s="5">
        <v>31.87</v>
      </c>
      <c r="K555" s="5">
        <v>23.17</v>
      </c>
      <c r="L555" t="s">
        <v>37</v>
      </c>
      <c r="M555" t="s">
        <v>606</v>
      </c>
    </row>
    <row r="556" spans="1:13" x14ac:dyDescent="0.3">
      <c r="A556" t="s">
        <v>615</v>
      </c>
      <c r="B556" s="4">
        <v>45995</v>
      </c>
      <c r="C556" t="s">
        <v>39</v>
      </c>
      <c r="D556" t="s">
        <v>35</v>
      </c>
      <c r="E556" t="s">
        <v>40</v>
      </c>
      <c r="F556">
        <v>4</v>
      </c>
      <c r="G556" s="5">
        <v>307.67</v>
      </c>
      <c r="H556" s="6">
        <v>0</v>
      </c>
      <c r="I556" s="5">
        <v>1230.68</v>
      </c>
      <c r="J556" s="5">
        <v>921.27</v>
      </c>
      <c r="K556" s="5">
        <v>309.41000000000003</v>
      </c>
      <c r="L556" t="s">
        <v>33</v>
      </c>
      <c r="M556" t="s">
        <v>606</v>
      </c>
    </row>
    <row r="557" spans="1:13" x14ac:dyDescent="0.3">
      <c r="A557" t="s">
        <v>616</v>
      </c>
      <c r="B557" s="4">
        <v>45996</v>
      </c>
      <c r="C557" t="s">
        <v>31</v>
      </c>
      <c r="D557" t="s">
        <v>35</v>
      </c>
      <c r="E557" t="s">
        <v>40</v>
      </c>
      <c r="F557">
        <v>1</v>
      </c>
      <c r="G557" s="5">
        <v>109.93</v>
      </c>
      <c r="H557" s="6">
        <v>0.1</v>
      </c>
      <c r="I557" s="5">
        <v>98.94</v>
      </c>
      <c r="J557" s="5">
        <v>89.7</v>
      </c>
      <c r="K557" s="5">
        <v>9.24</v>
      </c>
      <c r="L557" t="s">
        <v>28</v>
      </c>
      <c r="M557" t="s">
        <v>606</v>
      </c>
    </row>
    <row r="558" spans="1:13" x14ac:dyDescent="0.3">
      <c r="A558" t="s">
        <v>617</v>
      </c>
      <c r="B558" s="4">
        <v>45996</v>
      </c>
      <c r="C558" t="s">
        <v>31</v>
      </c>
      <c r="D558" t="s">
        <v>26</v>
      </c>
      <c r="E558" t="s">
        <v>27</v>
      </c>
      <c r="F558">
        <v>2</v>
      </c>
      <c r="G558" s="5">
        <v>6.01</v>
      </c>
      <c r="H558" s="6">
        <v>0.05</v>
      </c>
      <c r="I558" s="5">
        <v>11.42</v>
      </c>
      <c r="J558" s="5">
        <v>9.42</v>
      </c>
      <c r="K558" s="5">
        <v>2</v>
      </c>
      <c r="L558" t="s">
        <v>28</v>
      </c>
      <c r="M558" t="s">
        <v>606</v>
      </c>
    </row>
    <row r="559" spans="1:13" x14ac:dyDescent="0.3">
      <c r="A559" t="s">
        <v>618</v>
      </c>
      <c r="B559" s="4">
        <v>45996</v>
      </c>
      <c r="C559" t="s">
        <v>51</v>
      </c>
      <c r="D559" t="s">
        <v>35</v>
      </c>
      <c r="E559" t="s">
        <v>45</v>
      </c>
      <c r="F559">
        <v>5</v>
      </c>
      <c r="G559" s="5">
        <v>565.20000000000005</v>
      </c>
      <c r="H559" s="6">
        <v>0.1</v>
      </c>
      <c r="I559" s="5">
        <v>2543.4</v>
      </c>
      <c r="J559" s="5">
        <v>2036.65</v>
      </c>
      <c r="K559" s="5">
        <v>506.75</v>
      </c>
      <c r="L559" t="s">
        <v>33</v>
      </c>
      <c r="M559" t="s">
        <v>606</v>
      </c>
    </row>
    <row r="560" spans="1:13" x14ac:dyDescent="0.3">
      <c r="A560" t="s">
        <v>619</v>
      </c>
      <c r="B560" s="4">
        <v>45996</v>
      </c>
      <c r="C560" t="s">
        <v>31</v>
      </c>
      <c r="D560" t="s">
        <v>26</v>
      </c>
      <c r="E560" t="s">
        <v>32</v>
      </c>
      <c r="F560">
        <v>7</v>
      </c>
      <c r="G560" s="5">
        <v>16.739999999999998</v>
      </c>
      <c r="H560" s="6">
        <v>0.15</v>
      </c>
      <c r="I560" s="5">
        <v>99.6</v>
      </c>
      <c r="J560" s="5">
        <v>94.84</v>
      </c>
      <c r="K560" s="5">
        <v>4.76</v>
      </c>
      <c r="L560" t="s">
        <v>28</v>
      </c>
      <c r="M560" t="s">
        <v>606</v>
      </c>
    </row>
    <row r="561" spans="1:13" x14ac:dyDescent="0.3">
      <c r="A561" t="s">
        <v>620</v>
      </c>
      <c r="B561" s="4">
        <v>45998</v>
      </c>
      <c r="C561" t="s">
        <v>31</v>
      </c>
      <c r="D561" t="s">
        <v>35</v>
      </c>
      <c r="E561" t="s">
        <v>103</v>
      </c>
      <c r="F561">
        <v>7</v>
      </c>
      <c r="G561" s="5">
        <v>195.59</v>
      </c>
      <c r="H561" s="6">
        <v>0.1</v>
      </c>
      <c r="I561" s="5">
        <v>1232.22</v>
      </c>
      <c r="J561" s="5">
        <v>831.84</v>
      </c>
      <c r="K561" s="5">
        <v>400.38</v>
      </c>
      <c r="L561" t="s">
        <v>33</v>
      </c>
      <c r="M561" t="s">
        <v>606</v>
      </c>
    </row>
    <row r="562" spans="1:13" x14ac:dyDescent="0.3">
      <c r="A562" t="s">
        <v>621</v>
      </c>
      <c r="B562" s="4">
        <v>45998</v>
      </c>
      <c r="C562" t="s">
        <v>25</v>
      </c>
      <c r="D562" t="s">
        <v>42</v>
      </c>
      <c r="E562" t="s">
        <v>43</v>
      </c>
      <c r="F562">
        <v>7</v>
      </c>
      <c r="G562" s="5">
        <v>104.96</v>
      </c>
      <c r="H562" s="6">
        <v>0</v>
      </c>
      <c r="I562" s="5">
        <v>734.72</v>
      </c>
      <c r="J562" s="5">
        <v>493.58</v>
      </c>
      <c r="K562" s="5">
        <v>241.14</v>
      </c>
      <c r="L562" t="s">
        <v>33</v>
      </c>
      <c r="M562" t="s">
        <v>606</v>
      </c>
    </row>
    <row r="563" spans="1:13" x14ac:dyDescent="0.3">
      <c r="A563" t="s">
        <v>622</v>
      </c>
      <c r="B563" s="4">
        <v>45999</v>
      </c>
      <c r="C563" t="s">
        <v>25</v>
      </c>
      <c r="D563" t="s">
        <v>26</v>
      </c>
      <c r="E563" t="s">
        <v>53</v>
      </c>
      <c r="F563">
        <v>3</v>
      </c>
      <c r="G563" s="5">
        <v>9.1300000000000008</v>
      </c>
      <c r="H563" s="6">
        <v>0.15</v>
      </c>
      <c r="I563" s="5">
        <v>23.28</v>
      </c>
      <c r="J563" s="5">
        <v>14.53</v>
      </c>
      <c r="K563" s="5">
        <v>8.75</v>
      </c>
      <c r="L563" t="s">
        <v>28</v>
      </c>
      <c r="M563" t="s">
        <v>606</v>
      </c>
    </row>
    <row r="564" spans="1:13" x14ac:dyDescent="0.3">
      <c r="A564" t="s">
        <v>623</v>
      </c>
      <c r="B564" s="4">
        <v>45999</v>
      </c>
      <c r="C564" t="s">
        <v>25</v>
      </c>
      <c r="D564" t="s">
        <v>26</v>
      </c>
      <c r="E564" t="s">
        <v>27</v>
      </c>
      <c r="F564">
        <v>5</v>
      </c>
      <c r="G564" s="5">
        <v>5.12</v>
      </c>
      <c r="H564" s="6">
        <v>0</v>
      </c>
      <c r="I564" s="5">
        <v>25.6</v>
      </c>
      <c r="J564" s="5">
        <v>18.190000000000001</v>
      </c>
      <c r="K564" s="5">
        <v>7.41</v>
      </c>
      <c r="L564" t="s">
        <v>33</v>
      </c>
      <c r="M564" t="s">
        <v>606</v>
      </c>
    </row>
    <row r="565" spans="1:13" x14ac:dyDescent="0.3">
      <c r="A565" t="s">
        <v>624</v>
      </c>
      <c r="B565" s="4">
        <v>45999</v>
      </c>
      <c r="C565" t="s">
        <v>31</v>
      </c>
      <c r="D565" t="s">
        <v>26</v>
      </c>
      <c r="E565" t="s">
        <v>65</v>
      </c>
      <c r="F565">
        <v>5</v>
      </c>
      <c r="G565" s="5">
        <v>8.3699999999999992</v>
      </c>
      <c r="H565" s="6">
        <v>0</v>
      </c>
      <c r="I565" s="5">
        <v>41.85</v>
      </c>
      <c r="J565" s="5">
        <v>33.619999999999997</v>
      </c>
      <c r="K565" s="5">
        <v>8.23</v>
      </c>
      <c r="L565" t="s">
        <v>28</v>
      </c>
      <c r="M565" t="s">
        <v>606</v>
      </c>
    </row>
    <row r="566" spans="1:13" x14ac:dyDescent="0.3">
      <c r="A566" t="s">
        <v>625</v>
      </c>
      <c r="B566" s="4">
        <v>46000</v>
      </c>
      <c r="C566" t="s">
        <v>51</v>
      </c>
      <c r="D566" t="s">
        <v>35</v>
      </c>
      <c r="E566" t="s">
        <v>36</v>
      </c>
      <c r="F566">
        <v>4</v>
      </c>
      <c r="G566" s="5">
        <v>228.67</v>
      </c>
      <c r="H566" s="6">
        <v>0.1</v>
      </c>
      <c r="I566" s="5">
        <v>823.21</v>
      </c>
      <c r="J566" s="5">
        <v>618.59</v>
      </c>
      <c r="K566" s="5">
        <v>204.62</v>
      </c>
      <c r="L566" t="s">
        <v>28</v>
      </c>
      <c r="M566" t="s">
        <v>606</v>
      </c>
    </row>
    <row r="567" spans="1:13" x14ac:dyDescent="0.3">
      <c r="A567" t="s">
        <v>626</v>
      </c>
      <c r="B567" s="4">
        <v>46000</v>
      </c>
      <c r="C567" t="s">
        <v>25</v>
      </c>
      <c r="D567" t="s">
        <v>35</v>
      </c>
      <c r="E567" t="s">
        <v>40</v>
      </c>
      <c r="F567">
        <v>2</v>
      </c>
      <c r="G567" s="5">
        <v>302.08999999999997</v>
      </c>
      <c r="H567" s="6">
        <v>0.05</v>
      </c>
      <c r="I567" s="5">
        <v>573.97</v>
      </c>
      <c r="J567" s="5">
        <v>454.19</v>
      </c>
      <c r="K567" s="5">
        <v>119.78</v>
      </c>
      <c r="L567" t="s">
        <v>37</v>
      </c>
      <c r="M567" t="s">
        <v>606</v>
      </c>
    </row>
    <row r="568" spans="1:13" x14ac:dyDescent="0.3">
      <c r="A568" t="s">
        <v>627</v>
      </c>
      <c r="B568" s="4">
        <v>46000</v>
      </c>
      <c r="C568" t="s">
        <v>39</v>
      </c>
      <c r="D568" t="s">
        <v>42</v>
      </c>
      <c r="E568" t="s">
        <v>72</v>
      </c>
      <c r="F568">
        <v>1</v>
      </c>
      <c r="G568" s="5">
        <v>664.95</v>
      </c>
      <c r="H568" s="6">
        <v>0</v>
      </c>
      <c r="I568" s="5">
        <v>664.95</v>
      </c>
      <c r="J568" s="5">
        <v>433.76</v>
      </c>
      <c r="K568" s="5">
        <v>231.19</v>
      </c>
      <c r="L568" t="s">
        <v>33</v>
      </c>
      <c r="M568" t="s">
        <v>606</v>
      </c>
    </row>
    <row r="569" spans="1:13" x14ac:dyDescent="0.3">
      <c r="A569" t="s">
        <v>628</v>
      </c>
      <c r="B569" s="4">
        <v>46001</v>
      </c>
      <c r="C569" t="s">
        <v>25</v>
      </c>
      <c r="D569" t="s">
        <v>42</v>
      </c>
      <c r="E569" t="s">
        <v>97</v>
      </c>
      <c r="F569">
        <v>8</v>
      </c>
      <c r="G569" s="5">
        <v>46.81</v>
      </c>
      <c r="H569" s="6">
        <v>0.15</v>
      </c>
      <c r="I569" s="5">
        <v>318.31</v>
      </c>
      <c r="J569" s="5">
        <v>296.81</v>
      </c>
      <c r="K569" s="5">
        <v>21.5</v>
      </c>
      <c r="L569" t="s">
        <v>37</v>
      </c>
      <c r="M569" t="s">
        <v>606</v>
      </c>
    </row>
    <row r="570" spans="1:13" x14ac:dyDescent="0.3">
      <c r="A570" t="s">
        <v>629</v>
      </c>
      <c r="B570" s="4">
        <v>46003</v>
      </c>
      <c r="C570" t="s">
        <v>25</v>
      </c>
      <c r="D570" t="s">
        <v>26</v>
      </c>
      <c r="E570" t="s">
        <v>32</v>
      </c>
      <c r="F570">
        <v>6</v>
      </c>
      <c r="G570" s="5">
        <v>17.989999999999998</v>
      </c>
      <c r="H570" s="6">
        <v>0</v>
      </c>
      <c r="I570" s="5">
        <v>107.94</v>
      </c>
      <c r="J570" s="5">
        <v>61.34</v>
      </c>
      <c r="K570" s="5">
        <v>46.6</v>
      </c>
      <c r="L570" t="s">
        <v>28</v>
      </c>
      <c r="M570" t="s">
        <v>606</v>
      </c>
    </row>
    <row r="571" spans="1:13" x14ac:dyDescent="0.3">
      <c r="A571" t="s">
        <v>630</v>
      </c>
      <c r="B571" s="4">
        <v>46004</v>
      </c>
      <c r="C571" t="s">
        <v>25</v>
      </c>
      <c r="D571" t="s">
        <v>35</v>
      </c>
      <c r="E571" t="s">
        <v>36</v>
      </c>
      <c r="F571">
        <v>7</v>
      </c>
      <c r="G571" s="5">
        <v>157.38999999999999</v>
      </c>
      <c r="H571" s="6">
        <v>0</v>
      </c>
      <c r="I571" s="5">
        <v>1101.73</v>
      </c>
      <c r="J571" s="5">
        <v>791.72</v>
      </c>
      <c r="K571" s="5">
        <v>310.01</v>
      </c>
      <c r="L571" t="s">
        <v>28</v>
      </c>
      <c r="M571" t="s">
        <v>606</v>
      </c>
    </row>
    <row r="572" spans="1:13" x14ac:dyDescent="0.3">
      <c r="A572" t="s">
        <v>631</v>
      </c>
      <c r="B572" s="4">
        <v>46005</v>
      </c>
      <c r="C572" t="s">
        <v>25</v>
      </c>
      <c r="D572" t="s">
        <v>42</v>
      </c>
      <c r="E572" t="s">
        <v>97</v>
      </c>
      <c r="F572">
        <v>7</v>
      </c>
      <c r="G572" s="5">
        <v>18.2</v>
      </c>
      <c r="H572" s="6">
        <v>0.05</v>
      </c>
      <c r="I572" s="5">
        <v>121.03</v>
      </c>
      <c r="J572" s="5">
        <v>100.37</v>
      </c>
      <c r="K572" s="5">
        <v>20.66</v>
      </c>
      <c r="L572" t="s">
        <v>33</v>
      </c>
      <c r="M572" t="s">
        <v>606</v>
      </c>
    </row>
    <row r="573" spans="1:13" x14ac:dyDescent="0.3">
      <c r="A573" t="s">
        <v>632</v>
      </c>
      <c r="B573" s="4">
        <v>46006</v>
      </c>
      <c r="C573" t="s">
        <v>25</v>
      </c>
      <c r="D573" t="s">
        <v>26</v>
      </c>
      <c r="E573" t="s">
        <v>27</v>
      </c>
      <c r="F573">
        <v>8</v>
      </c>
      <c r="G573" s="5">
        <v>19.760000000000002</v>
      </c>
      <c r="H573" s="6">
        <v>0</v>
      </c>
      <c r="I573" s="5">
        <v>158.08000000000001</v>
      </c>
      <c r="J573" s="5">
        <v>117.67</v>
      </c>
      <c r="K573" s="5">
        <v>40.409999999999997</v>
      </c>
      <c r="L573" t="s">
        <v>33</v>
      </c>
      <c r="M573" t="s">
        <v>606</v>
      </c>
    </row>
    <row r="574" spans="1:13" x14ac:dyDescent="0.3">
      <c r="A574" t="s">
        <v>633</v>
      </c>
      <c r="B574" s="4">
        <v>46006</v>
      </c>
      <c r="C574" t="s">
        <v>25</v>
      </c>
      <c r="D574" t="s">
        <v>42</v>
      </c>
      <c r="E574" t="s">
        <v>97</v>
      </c>
      <c r="F574">
        <v>2</v>
      </c>
      <c r="G574" s="5">
        <v>60.2</v>
      </c>
      <c r="H574" s="6">
        <v>0</v>
      </c>
      <c r="I574" s="5">
        <v>120.4</v>
      </c>
      <c r="J574" s="5">
        <v>70.8</v>
      </c>
      <c r="K574" s="5">
        <v>49.6</v>
      </c>
      <c r="L574" t="s">
        <v>33</v>
      </c>
      <c r="M574" t="s">
        <v>606</v>
      </c>
    </row>
    <row r="575" spans="1:13" x14ac:dyDescent="0.3">
      <c r="A575" t="s">
        <v>634</v>
      </c>
      <c r="B575" s="4">
        <v>46007</v>
      </c>
      <c r="C575" t="s">
        <v>31</v>
      </c>
      <c r="D575" t="s">
        <v>35</v>
      </c>
      <c r="E575" t="s">
        <v>47</v>
      </c>
      <c r="F575">
        <v>3</v>
      </c>
      <c r="G575" s="5">
        <v>345.02</v>
      </c>
      <c r="H575" s="6">
        <v>0.1</v>
      </c>
      <c r="I575" s="5">
        <v>931.55</v>
      </c>
      <c r="J575" s="5">
        <v>720.25</v>
      </c>
      <c r="K575" s="5">
        <v>211.3</v>
      </c>
      <c r="L575" t="s">
        <v>33</v>
      </c>
      <c r="M575" t="s">
        <v>606</v>
      </c>
    </row>
    <row r="576" spans="1:13" x14ac:dyDescent="0.3">
      <c r="A576" t="s">
        <v>635</v>
      </c>
      <c r="B576" s="4">
        <v>46008</v>
      </c>
      <c r="C576" t="s">
        <v>51</v>
      </c>
      <c r="D576" t="s">
        <v>42</v>
      </c>
      <c r="E576" t="s">
        <v>62</v>
      </c>
      <c r="F576">
        <v>7</v>
      </c>
      <c r="G576" s="5">
        <v>51.19</v>
      </c>
      <c r="H576" s="6">
        <v>0.05</v>
      </c>
      <c r="I576" s="5">
        <v>340.41</v>
      </c>
      <c r="J576" s="5">
        <v>291.31</v>
      </c>
      <c r="K576" s="5">
        <v>49.1</v>
      </c>
      <c r="L576" t="s">
        <v>28</v>
      </c>
      <c r="M576" t="s">
        <v>606</v>
      </c>
    </row>
    <row r="577" spans="1:13" x14ac:dyDescent="0.3">
      <c r="A577" t="s">
        <v>636</v>
      </c>
      <c r="B577" s="4">
        <v>46008</v>
      </c>
      <c r="C577" t="s">
        <v>31</v>
      </c>
      <c r="D577" t="s">
        <v>26</v>
      </c>
      <c r="E577" t="s">
        <v>32</v>
      </c>
      <c r="F577">
        <v>8</v>
      </c>
      <c r="G577" s="5">
        <v>16.78</v>
      </c>
      <c r="H577" s="6">
        <v>0.1</v>
      </c>
      <c r="I577" s="5">
        <v>120.82</v>
      </c>
      <c r="J577" s="5">
        <v>94.35</v>
      </c>
      <c r="K577" s="5">
        <v>26.47</v>
      </c>
      <c r="L577" t="s">
        <v>33</v>
      </c>
      <c r="M577" t="s">
        <v>606</v>
      </c>
    </row>
    <row r="578" spans="1:13" x14ac:dyDescent="0.3">
      <c r="A578" t="s">
        <v>637</v>
      </c>
      <c r="B578" s="4">
        <v>46008</v>
      </c>
      <c r="C578" t="s">
        <v>25</v>
      </c>
      <c r="D578" t="s">
        <v>26</v>
      </c>
      <c r="E578" t="s">
        <v>27</v>
      </c>
      <c r="F578">
        <v>7</v>
      </c>
      <c r="G578" s="5">
        <v>21.93</v>
      </c>
      <c r="H578" s="6">
        <v>0</v>
      </c>
      <c r="I578" s="5">
        <v>153.51</v>
      </c>
      <c r="J578" s="5">
        <v>109.67</v>
      </c>
      <c r="K578" s="5">
        <v>43.84</v>
      </c>
      <c r="L578" t="s">
        <v>37</v>
      </c>
      <c r="M578" t="s">
        <v>606</v>
      </c>
    </row>
    <row r="579" spans="1:13" x14ac:dyDescent="0.3">
      <c r="A579" t="s">
        <v>638</v>
      </c>
      <c r="B579" s="4">
        <v>46009</v>
      </c>
      <c r="C579" t="s">
        <v>31</v>
      </c>
      <c r="D579" t="s">
        <v>26</v>
      </c>
      <c r="E579" t="s">
        <v>32</v>
      </c>
      <c r="F579">
        <v>2</v>
      </c>
      <c r="G579" s="5">
        <v>5.09</v>
      </c>
      <c r="H579" s="6">
        <v>0.15</v>
      </c>
      <c r="I579" s="5">
        <v>8.65</v>
      </c>
      <c r="J579" s="5">
        <v>5.99</v>
      </c>
      <c r="K579" s="5">
        <v>2.66</v>
      </c>
      <c r="L579" t="s">
        <v>28</v>
      </c>
      <c r="M579" t="s">
        <v>606</v>
      </c>
    </row>
    <row r="580" spans="1:13" x14ac:dyDescent="0.3">
      <c r="A580" t="s">
        <v>639</v>
      </c>
      <c r="B580" s="4">
        <v>46009</v>
      </c>
      <c r="C580" t="s">
        <v>39</v>
      </c>
      <c r="D580" t="s">
        <v>26</v>
      </c>
      <c r="E580" t="s">
        <v>68</v>
      </c>
      <c r="F580">
        <v>7</v>
      </c>
      <c r="G580" s="5">
        <v>6.51</v>
      </c>
      <c r="H580" s="6">
        <v>0.1</v>
      </c>
      <c r="I580" s="5">
        <v>41.01</v>
      </c>
      <c r="J580" s="5">
        <v>23.79</v>
      </c>
      <c r="K580" s="5">
        <v>17.22</v>
      </c>
      <c r="L580" t="s">
        <v>37</v>
      </c>
      <c r="M580" t="s">
        <v>606</v>
      </c>
    </row>
    <row r="581" spans="1:13" x14ac:dyDescent="0.3">
      <c r="A581" t="s">
        <v>640</v>
      </c>
      <c r="B581" s="4">
        <v>46009</v>
      </c>
      <c r="C581" t="s">
        <v>51</v>
      </c>
      <c r="D581" t="s">
        <v>26</v>
      </c>
      <c r="E581" t="s">
        <v>32</v>
      </c>
      <c r="F581">
        <v>6</v>
      </c>
      <c r="G581" s="5">
        <v>10.42</v>
      </c>
      <c r="H581" s="6">
        <v>0</v>
      </c>
      <c r="I581" s="5">
        <v>62.52</v>
      </c>
      <c r="J581" s="5">
        <v>36.979999999999997</v>
      </c>
      <c r="K581" s="5">
        <v>25.54</v>
      </c>
      <c r="L581" t="s">
        <v>28</v>
      </c>
      <c r="M581" t="s">
        <v>606</v>
      </c>
    </row>
    <row r="582" spans="1:13" x14ac:dyDescent="0.3">
      <c r="A582" t="s">
        <v>641</v>
      </c>
      <c r="B582" s="4">
        <v>46010</v>
      </c>
      <c r="C582" t="s">
        <v>51</v>
      </c>
      <c r="D582" t="s">
        <v>26</v>
      </c>
      <c r="E582" t="s">
        <v>53</v>
      </c>
      <c r="F582">
        <v>5</v>
      </c>
      <c r="G582" s="5">
        <v>14.23</v>
      </c>
      <c r="H582" s="6">
        <v>0.2</v>
      </c>
      <c r="I582" s="5">
        <v>56.92</v>
      </c>
      <c r="J582" s="5">
        <v>53.14</v>
      </c>
      <c r="K582" s="5">
        <v>3.78</v>
      </c>
      <c r="L582" t="s">
        <v>37</v>
      </c>
      <c r="M582" t="s">
        <v>606</v>
      </c>
    </row>
    <row r="583" spans="1:13" x14ac:dyDescent="0.3">
      <c r="A583" t="s">
        <v>642</v>
      </c>
      <c r="B583" s="4">
        <v>46011</v>
      </c>
      <c r="C583" t="s">
        <v>51</v>
      </c>
      <c r="D583" t="s">
        <v>26</v>
      </c>
      <c r="E583" t="s">
        <v>68</v>
      </c>
      <c r="F583">
        <v>7</v>
      </c>
      <c r="G583" s="5">
        <v>9.24</v>
      </c>
      <c r="H583" s="6">
        <v>0.15</v>
      </c>
      <c r="I583" s="5">
        <v>54.98</v>
      </c>
      <c r="J583" s="5">
        <v>51.23</v>
      </c>
      <c r="K583" s="5">
        <v>3.75</v>
      </c>
      <c r="L583" t="s">
        <v>37</v>
      </c>
      <c r="M583" t="s">
        <v>606</v>
      </c>
    </row>
    <row r="584" spans="1:13" x14ac:dyDescent="0.3">
      <c r="A584" t="s">
        <v>643</v>
      </c>
      <c r="B584" s="4">
        <v>46011</v>
      </c>
      <c r="C584" t="s">
        <v>31</v>
      </c>
      <c r="D584" t="s">
        <v>42</v>
      </c>
      <c r="E584" t="s">
        <v>59</v>
      </c>
      <c r="F584">
        <v>6</v>
      </c>
      <c r="G584" s="5">
        <v>134.22999999999999</v>
      </c>
      <c r="H584" s="6">
        <v>0.2</v>
      </c>
      <c r="I584" s="5">
        <v>644.29999999999995</v>
      </c>
      <c r="J584" s="5">
        <v>532.12</v>
      </c>
      <c r="K584" s="5">
        <v>112.18</v>
      </c>
      <c r="L584" t="s">
        <v>37</v>
      </c>
      <c r="M584" t="s">
        <v>606</v>
      </c>
    </row>
    <row r="585" spans="1:13" x14ac:dyDescent="0.3">
      <c r="A585" t="s">
        <v>644</v>
      </c>
      <c r="B585" s="4">
        <v>46011</v>
      </c>
      <c r="C585" t="s">
        <v>31</v>
      </c>
      <c r="D585" t="s">
        <v>42</v>
      </c>
      <c r="E585" t="s">
        <v>97</v>
      </c>
      <c r="F585">
        <v>5</v>
      </c>
      <c r="G585" s="5">
        <v>65.709999999999994</v>
      </c>
      <c r="H585" s="6">
        <v>0.05</v>
      </c>
      <c r="I585" s="5">
        <v>312.12</v>
      </c>
      <c r="J585" s="5">
        <v>223.27</v>
      </c>
      <c r="K585" s="5">
        <v>88.85</v>
      </c>
      <c r="L585" t="s">
        <v>33</v>
      </c>
      <c r="M585" t="s">
        <v>606</v>
      </c>
    </row>
    <row r="586" spans="1:13" x14ac:dyDescent="0.3">
      <c r="A586" t="s">
        <v>645</v>
      </c>
      <c r="B586" s="4">
        <v>46011</v>
      </c>
      <c r="C586" t="s">
        <v>39</v>
      </c>
      <c r="D586" t="s">
        <v>26</v>
      </c>
      <c r="E586" t="s">
        <v>32</v>
      </c>
      <c r="F586">
        <v>8</v>
      </c>
      <c r="G586" s="5">
        <v>15.7</v>
      </c>
      <c r="H586" s="6">
        <v>0.1</v>
      </c>
      <c r="I586" s="5">
        <v>113.04</v>
      </c>
      <c r="J586" s="5">
        <v>88.93</v>
      </c>
      <c r="K586" s="5">
        <v>24.11</v>
      </c>
      <c r="L586" t="s">
        <v>33</v>
      </c>
      <c r="M586" t="s">
        <v>606</v>
      </c>
    </row>
    <row r="587" spans="1:13" x14ac:dyDescent="0.3">
      <c r="A587" t="s">
        <v>646</v>
      </c>
      <c r="B587" s="4">
        <v>46012</v>
      </c>
      <c r="C587" t="s">
        <v>39</v>
      </c>
      <c r="D587" t="s">
        <v>42</v>
      </c>
      <c r="E587" t="s">
        <v>97</v>
      </c>
      <c r="F587">
        <v>5</v>
      </c>
      <c r="G587" s="5">
        <v>52.54</v>
      </c>
      <c r="H587" s="6">
        <v>0.15</v>
      </c>
      <c r="I587" s="5">
        <v>223.29</v>
      </c>
      <c r="J587" s="5">
        <v>143.82</v>
      </c>
      <c r="K587" s="5">
        <v>79.47</v>
      </c>
      <c r="L587" t="s">
        <v>28</v>
      </c>
      <c r="M587" t="s">
        <v>606</v>
      </c>
    </row>
    <row r="588" spans="1:13" x14ac:dyDescent="0.3">
      <c r="A588" t="s">
        <v>647</v>
      </c>
      <c r="B588" s="4">
        <v>46012</v>
      </c>
      <c r="C588" t="s">
        <v>51</v>
      </c>
      <c r="D588" t="s">
        <v>26</v>
      </c>
      <c r="E588" t="s">
        <v>65</v>
      </c>
      <c r="F588">
        <v>3</v>
      </c>
      <c r="G588" s="5">
        <v>6.22</v>
      </c>
      <c r="H588" s="6">
        <v>0</v>
      </c>
      <c r="I588" s="5">
        <v>18.66</v>
      </c>
      <c r="J588" s="5">
        <v>15.1</v>
      </c>
      <c r="K588" s="5">
        <v>3.56</v>
      </c>
      <c r="L588" t="s">
        <v>28</v>
      </c>
      <c r="M588" t="s">
        <v>606</v>
      </c>
    </row>
    <row r="589" spans="1:13" x14ac:dyDescent="0.3">
      <c r="A589" t="s">
        <v>648</v>
      </c>
      <c r="B589" s="4">
        <v>46013</v>
      </c>
      <c r="C589" t="s">
        <v>31</v>
      </c>
      <c r="D589" t="s">
        <v>42</v>
      </c>
      <c r="E589" t="s">
        <v>62</v>
      </c>
      <c r="F589">
        <v>1</v>
      </c>
      <c r="G589" s="5">
        <v>38.06</v>
      </c>
      <c r="H589" s="6">
        <v>0.15</v>
      </c>
      <c r="I589" s="5">
        <v>32.35</v>
      </c>
      <c r="J589" s="5">
        <v>24.32</v>
      </c>
      <c r="K589" s="5">
        <v>8.0299999999999994</v>
      </c>
      <c r="L589" t="s">
        <v>33</v>
      </c>
      <c r="M589" t="s">
        <v>606</v>
      </c>
    </row>
    <row r="590" spans="1:13" x14ac:dyDescent="0.3">
      <c r="A590" t="s">
        <v>649</v>
      </c>
      <c r="B590" s="4">
        <v>46013</v>
      </c>
      <c r="C590" t="s">
        <v>25</v>
      </c>
      <c r="D590" t="s">
        <v>42</v>
      </c>
      <c r="E590" t="s">
        <v>97</v>
      </c>
      <c r="F590">
        <v>8</v>
      </c>
      <c r="G590" s="5">
        <v>25.44</v>
      </c>
      <c r="H590" s="6">
        <v>0.05</v>
      </c>
      <c r="I590" s="5">
        <v>193.34</v>
      </c>
      <c r="J590" s="5">
        <v>116.44</v>
      </c>
      <c r="K590" s="5">
        <v>76.900000000000006</v>
      </c>
      <c r="L590" t="s">
        <v>28</v>
      </c>
      <c r="M590" t="s">
        <v>606</v>
      </c>
    </row>
    <row r="591" spans="1:13" x14ac:dyDescent="0.3">
      <c r="A591" t="s">
        <v>650</v>
      </c>
      <c r="B591" s="4">
        <v>46014</v>
      </c>
      <c r="C591" t="s">
        <v>51</v>
      </c>
      <c r="D591" t="s">
        <v>26</v>
      </c>
      <c r="E591" t="s">
        <v>65</v>
      </c>
      <c r="F591">
        <v>6</v>
      </c>
      <c r="G591" s="5">
        <v>4.83</v>
      </c>
      <c r="H591" s="6">
        <v>0</v>
      </c>
      <c r="I591" s="5">
        <v>28.98</v>
      </c>
      <c r="J591" s="5">
        <v>20.46</v>
      </c>
      <c r="K591" s="5">
        <v>8.52</v>
      </c>
      <c r="L591" t="s">
        <v>28</v>
      </c>
      <c r="M591" t="s">
        <v>606</v>
      </c>
    </row>
    <row r="592" spans="1:13" x14ac:dyDescent="0.3">
      <c r="A592" t="s">
        <v>651</v>
      </c>
      <c r="B592" s="4">
        <v>46015</v>
      </c>
      <c r="C592" t="s">
        <v>25</v>
      </c>
      <c r="D592" t="s">
        <v>26</v>
      </c>
      <c r="E592" t="s">
        <v>27</v>
      </c>
      <c r="F592">
        <v>6</v>
      </c>
      <c r="G592" s="5">
        <v>14.27</v>
      </c>
      <c r="H592" s="6">
        <v>0</v>
      </c>
      <c r="I592" s="5">
        <v>85.62</v>
      </c>
      <c r="J592" s="5">
        <v>47.39</v>
      </c>
      <c r="K592" s="5">
        <v>38.229999999999997</v>
      </c>
      <c r="L592" t="s">
        <v>37</v>
      </c>
      <c r="M592" t="s">
        <v>606</v>
      </c>
    </row>
    <row r="593" spans="1:13" x14ac:dyDescent="0.3">
      <c r="A593" t="s">
        <v>652</v>
      </c>
      <c r="B593" s="4">
        <v>46016</v>
      </c>
      <c r="C593" t="s">
        <v>39</v>
      </c>
      <c r="D593" t="s">
        <v>42</v>
      </c>
      <c r="E593" t="s">
        <v>62</v>
      </c>
      <c r="F593">
        <v>4</v>
      </c>
      <c r="G593" s="5">
        <v>96.98</v>
      </c>
      <c r="H593" s="6">
        <v>0.05</v>
      </c>
      <c r="I593" s="5">
        <v>368.52</v>
      </c>
      <c r="J593" s="5">
        <v>222.77</v>
      </c>
      <c r="K593" s="5">
        <v>145.75</v>
      </c>
      <c r="L593" t="s">
        <v>37</v>
      </c>
      <c r="M593" t="s">
        <v>606</v>
      </c>
    </row>
    <row r="594" spans="1:13" x14ac:dyDescent="0.3">
      <c r="A594" t="s">
        <v>653</v>
      </c>
      <c r="B594" s="4">
        <v>46017</v>
      </c>
      <c r="C594" t="s">
        <v>51</v>
      </c>
      <c r="D594" t="s">
        <v>35</v>
      </c>
      <c r="E594" t="s">
        <v>47</v>
      </c>
      <c r="F594">
        <v>5</v>
      </c>
      <c r="G594" s="5">
        <v>320.62</v>
      </c>
      <c r="H594" s="6">
        <v>0.05</v>
      </c>
      <c r="I594" s="5">
        <v>1522.94</v>
      </c>
      <c r="J594" s="5">
        <v>977.61</v>
      </c>
      <c r="K594" s="5">
        <v>545.33000000000004</v>
      </c>
      <c r="L594" t="s">
        <v>37</v>
      </c>
      <c r="M594" t="s">
        <v>606</v>
      </c>
    </row>
    <row r="595" spans="1:13" x14ac:dyDescent="0.3">
      <c r="A595" t="s">
        <v>654</v>
      </c>
      <c r="B595" s="4">
        <v>46019</v>
      </c>
      <c r="C595" t="s">
        <v>39</v>
      </c>
      <c r="D595" t="s">
        <v>42</v>
      </c>
      <c r="E595" t="s">
        <v>59</v>
      </c>
      <c r="F595">
        <v>6</v>
      </c>
      <c r="G595" s="5">
        <v>140.12</v>
      </c>
      <c r="H595" s="6">
        <v>0.1</v>
      </c>
      <c r="I595" s="5">
        <v>756.65</v>
      </c>
      <c r="J595" s="5">
        <v>627.87</v>
      </c>
      <c r="K595" s="5">
        <v>128.78</v>
      </c>
      <c r="L595" t="s">
        <v>33</v>
      </c>
      <c r="M595" t="s">
        <v>606</v>
      </c>
    </row>
    <row r="596" spans="1:13" x14ac:dyDescent="0.3">
      <c r="A596" t="s">
        <v>655</v>
      </c>
      <c r="B596" s="4">
        <v>46019</v>
      </c>
      <c r="C596" t="s">
        <v>39</v>
      </c>
      <c r="D596" t="s">
        <v>26</v>
      </c>
      <c r="E596" t="s">
        <v>53</v>
      </c>
      <c r="F596">
        <v>6</v>
      </c>
      <c r="G596" s="5">
        <v>18.16</v>
      </c>
      <c r="H596" s="6">
        <v>0.05</v>
      </c>
      <c r="I596" s="5">
        <v>103.51</v>
      </c>
      <c r="J596" s="5">
        <v>78</v>
      </c>
      <c r="K596" s="5">
        <v>25.51</v>
      </c>
      <c r="L596" t="s">
        <v>33</v>
      </c>
      <c r="M596" t="s">
        <v>606</v>
      </c>
    </row>
    <row r="597" spans="1:13" x14ac:dyDescent="0.3">
      <c r="A597" t="s">
        <v>656</v>
      </c>
      <c r="B597" s="4">
        <v>46020</v>
      </c>
      <c r="C597" t="s">
        <v>39</v>
      </c>
      <c r="D597" t="s">
        <v>35</v>
      </c>
      <c r="E597" t="s">
        <v>45</v>
      </c>
      <c r="F597">
        <v>4</v>
      </c>
      <c r="G597" s="5">
        <v>484.63</v>
      </c>
      <c r="H597" s="6">
        <v>0</v>
      </c>
      <c r="I597" s="5">
        <v>1938.52</v>
      </c>
      <c r="J597" s="5">
        <v>1534.8</v>
      </c>
      <c r="K597" s="5">
        <v>403.72</v>
      </c>
      <c r="L597" t="s">
        <v>33</v>
      </c>
      <c r="M597" t="s">
        <v>606</v>
      </c>
    </row>
    <row r="598" spans="1:13" x14ac:dyDescent="0.3">
      <c r="A598" t="s">
        <v>657</v>
      </c>
      <c r="B598" s="4">
        <v>46020</v>
      </c>
      <c r="C598" t="s">
        <v>25</v>
      </c>
      <c r="D598" t="s">
        <v>26</v>
      </c>
      <c r="E598" t="s">
        <v>32</v>
      </c>
      <c r="F598">
        <v>5</v>
      </c>
      <c r="G598" s="5">
        <v>14.56</v>
      </c>
      <c r="H598" s="6">
        <v>0.2</v>
      </c>
      <c r="I598" s="5">
        <v>58.24</v>
      </c>
      <c r="J598" s="5">
        <v>48.61</v>
      </c>
      <c r="K598" s="5">
        <v>9.6300000000000008</v>
      </c>
      <c r="L598" t="s">
        <v>33</v>
      </c>
      <c r="M598" t="s">
        <v>606</v>
      </c>
    </row>
    <row r="599" spans="1:13" x14ac:dyDescent="0.3">
      <c r="A599" t="s">
        <v>658</v>
      </c>
      <c r="B599" s="4">
        <v>46021</v>
      </c>
      <c r="C599" t="s">
        <v>25</v>
      </c>
      <c r="D599" t="s">
        <v>42</v>
      </c>
      <c r="E599" t="s">
        <v>62</v>
      </c>
      <c r="F599">
        <v>7</v>
      </c>
      <c r="G599" s="5">
        <v>77.36</v>
      </c>
      <c r="H599" s="6">
        <v>0.1</v>
      </c>
      <c r="I599" s="5">
        <v>487.37</v>
      </c>
      <c r="J599" s="5">
        <v>345.28</v>
      </c>
      <c r="K599" s="5">
        <v>142.09</v>
      </c>
      <c r="L599" t="s">
        <v>37</v>
      </c>
      <c r="M599" t="s">
        <v>606</v>
      </c>
    </row>
    <row r="600" spans="1:13" x14ac:dyDescent="0.3">
      <c r="A600" t="s">
        <v>659</v>
      </c>
      <c r="B600" s="4">
        <v>46021</v>
      </c>
      <c r="C600" t="s">
        <v>31</v>
      </c>
      <c r="D600" t="s">
        <v>26</v>
      </c>
      <c r="E600" t="s">
        <v>65</v>
      </c>
      <c r="F600">
        <v>4</v>
      </c>
      <c r="G600" s="5">
        <v>8.1</v>
      </c>
      <c r="H600" s="6">
        <v>0.05</v>
      </c>
      <c r="I600" s="5">
        <v>30.78</v>
      </c>
      <c r="J600" s="5">
        <v>20.34</v>
      </c>
      <c r="K600" s="5">
        <v>10.44</v>
      </c>
      <c r="L600" t="s">
        <v>33</v>
      </c>
      <c r="M600" t="s">
        <v>606</v>
      </c>
    </row>
    <row r="601" spans="1:13" x14ac:dyDescent="0.3">
      <c r="A601" t="s">
        <v>660</v>
      </c>
      <c r="B601" s="4">
        <v>46022</v>
      </c>
      <c r="C601" t="s">
        <v>39</v>
      </c>
      <c r="D601" t="s">
        <v>42</v>
      </c>
      <c r="E601" t="s">
        <v>97</v>
      </c>
      <c r="F601">
        <v>7</v>
      </c>
      <c r="G601" s="5">
        <v>45.65</v>
      </c>
      <c r="H601" s="6">
        <v>0</v>
      </c>
      <c r="I601" s="5">
        <v>319.55</v>
      </c>
      <c r="J601" s="5">
        <v>237.65</v>
      </c>
      <c r="K601" s="5">
        <v>81.900000000000006</v>
      </c>
      <c r="L601" t="s">
        <v>28</v>
      </c>
      <c r="M601" t="s">
        <v>606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zoomScale="90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25" customWidth="1"/>
    <col min="2" max="2" width="18" customWidth="1"/>
    <col min="3" max="3" width="24" customWidth="1"/>
    <col min="4" max="4" width="14" customWidth="1"/>
    <col min="5" max="5" width="3" customWidth="1"/>
    <col min="6" max="8" width="16" customWidth="1"/>
  </cols>
  <sheetData>
    <row r="1" spans="1:4" ht="21" x14ac:dyDescent="0.4">
      <c r="A1" s="13" t="s">
        <v>661</v>
      </c>
      <c r="B1" s="12"/>
      <c r="C1" s="12"/>
      <c r="D1" s="12"/>
    </row>
    <row r="2" spans="1:4" x14ac:dyDescent="0.3">
      <c r="A2" s="7" t="s">
        <v>662</v>
      </c>
      <c r="B2" s="7" t="s">
        <v>663</v>
      </c>
      <c r="C2" s="7" t="s">
        <v>664</v>
      </c>
      <c r="D2" s="7"/>
    </row>
    <row r="3" spans="1:4" x14ac:dyDescent="0.3">
      <c r="A3" s="8" t="s">
        <v>665</v>
      </c>
      <c r="B3" s="5">
        <f>SUM(Data!I:I)</f>
        <v>306604.69999999955</v>
      </c>
      <c r="C3" t="s">
        <v>666</v>
      </c>
    </row>
    <row r="4" spans="1:4" x14ac:dyDescent="0.3">
      <c r="A4" s="8" t="s">
        <v>667</v>
      </c>
      <c r="B4" s="5">
        <f>SUM(Data!K:K)</f>
        <v>85193.96000000005</v>
      </c>
      <c r="C4" t="s">
        <v>668</v>
      </c>
    </row>
    <row r="5" spans="1:4" x14ac:dyDescent="0.3">
      <c r="A5" s="8" t="s">
        <v>669</v>
      </c>
      <c r="B5" s="9">
        <f>COUNTA(Data!A:A)-1</f>
        <v>600</v>
      </c>
      <c r="C5" t="s">
        <v>670</v>
      </c>
    </row>
    <row r="6" spans="1:4" x14ac:dyDescent="0.3">
      <c r="A6" s="8" t="s">
        <v>671</v>
      </c>
      <c r="B6" s="9">
        <f>SUM(Data!F:F)</f>
        <v>2616</v>
      </c>
      <c r="C6" t="s">
        <v>672</v>
      </c>
    </row>
    <row r="7" spans="1:4" x14ac:dyDescent="0.3">
      <c r="A7" s="8" t="s">
        <v>673</v>
      </c>
      <c r="B7" s="10">
        <f>IFERROR(B3/B2,0)</f>
        <v>0</v>
      </c>
      <c r="C7" t="s">
        <v>674</v>
      </c>
    </row>
    <row r="8" spans="1:4" x14ac:dyDescent="0.3">
      <c r="A8" s="8" t="s">
        <v>675</v>
      </c>
      <c r="B8" s="5">
        <f>IFERROR(B2/B4,0)</f>
        <v>0</v>
      </c>
      <c r="C8" t="s">
        <v>676</v>
      </c>
    </row>
    <row r="10" spans="1:4" x14ac:dyDescent="0.3">
      <c r="A10" s="7" t="s">
        <v>14</v>
      </c>
      <c r="B10" s="7" t="s">
        <v>19</v>
      </c>
      <c r="C10" s="7" t="s">
        <v>21</v>
      </c>
      <c r="D10" s="7" t="s">
        <v>677</v>
      </c>
    </row>
    <row r="11" spans="1:4" x14ac:dyDescent="0.3">
      <c r="A11" t="s">
        <v>42</v>
      </c>
      <c r="B11" s="5">
        <f>SUMIF(Data!D:D,A11,Data!I:I)</f>
        <v>163270.82</v>
      </c>
      <c r="C11" s="5">
        <f>SUMIF(Data!D:D,A11,Data!K:K)</f>
        <v>46346.409999999996</v>
      </c>
      <c r="D11">
        <f>COUNTIF(Data!D:D,A11)</f>
        <v>183</v>
      </c>
    </row>
    <row r="12" spans="1:4" x14ac:dyDescent="0.3">
      <c r="A12" t="s">
        <v>35</v>
      </c>
      <c r="B12" s="5">
        <f>SUMIF(Data!D:D,A12,Data!I:I)</f>
        <v>129150.13999999998</v>
      </c>
      <c r="C12" s="5">
        <f>SUMIF(Data!D:D,A12,Data!K:K)</f>
        <v>34921.760000000009</v>
      </c>
      <c r="D12">
        <f>COUNTIF(Data!D:D,A12)</f>
        <v>146</v>
      </c>
    </row>
    <row r="13" spans="1:4" x14ac:dyDescent="0.3">
      <c r="A13" t="s">
        <v>26</v>
      </c>
      <c r="B13" s="5">
        <f>SUMIF(Data!D:D,A13,Data!I:I)</f>
        <v>14183.74</v>
      </c>
      <c r="C13" s="5">
        <f>SUMIF(Data!D:D,A13,Data!K:K)</f>
        <v>3925.7900000000009</v>
      </c>
      <c r="D13">
        <f>COUNTIF(Data!D:D,A13)</f>
        <v>271</v>
      </c>
    </row>
    <row r="16" spans="1:4" x14ac:dyDescent="0.3">
      <c r="A16" s="7" t="s">
        <v>13</v>
      </c>
      <c r="B16" s="7" t="s">
        <v>19</v>
      </c>
      <c r="C16" s="7" t="s">
        <v>21</v>
      </c>
      <c r="D16" s="7" t="s">
        <v>677</v>
      </c>
    </row>
    <row r="17" spans="1:4" x14ac:dyDescent="0.3">
      <c r="A17" t="s">
        <v>31</v>
      </c>
      <c r="B17" s="5">
        <f>SUMIF(Data!C:C,A17,Data!I:I)</f>
        <v>71424.03</v>
      </c>
      <c r="C17" s="5">
        <f>SUMIF(Data!C:C,A17,Data!K:K)</f>
        <v>18923.669999999991</v>
      </c>
      <c r="D17">
        <f>COUNTIF(Data!C:C,A17)</f>
        <v>146</v>
      </c>
    </row>
    <row r="18" spans="1:4" x14ac:dyDescent="0.3">
      <c r="A18" t="s">
        <v>51</v>
      </c>
      <c r="B18" s="5">
        <f>SUMIF(Data!C:C,A18,Data!I:I)</f>
        <v>90898.010000000068</v>
      </c>
      <c r="C18" s="5">
        <f>SUMIF(Data!C:C,A18,Data!K:K)</f>
        <v>25329.840000000004</v>
      </c>
      <c r="D18">
        <f>COUNTIF(Data!C:C,A18)</f>
        <v>137</v>
      </c>
    </row>
    <row r="19" spans="1:4" x14ac:dyDescent="0.3">
      <c r="A19" t="s">
        <v>25</v>
      </c>
      <c r="B19" s="5">
        <f>SUMIF(Data!C:C,A19,Data!I:I)</f>
        <v>61232.590000000018</v>
      </c>
      <c r="C19" s="5">
        <f>SUMIF(Data!C:C,A19,Data!K:K)</f>
        <v>16160.790000000008</v>
      </c>
      <c r="D19">
        <f>COUNTIF(Data!C:C,A19)</f>
        <v>169</v>
      </c>
    </row>
    <row r="20" spans="1:4" x14ac:dyDescent="0.3">
      <c r="A20" t="s">
        <v>39</v>
      </c>
      <c r="B20" s="5">
        <f>SUMIF(Data!C:C,A20,Data!I:I)</f>
        <v>83050.069999999963</v>
      </c>
      <c r="C20" s="5">
        <f>SUMIF(Data!C:C,A20,Data!K:K)</f>
        <v>24779.659999999996</v>
      </c>
      <c r="D20">
        <f>COUNTIF(Data!C:C,A20)</f>
        <v>148</v>
      </c>
    </row>
    <row r="23" spans="1:4" x14ac:dyDescent="0.3">
      <c r="A23" s="7" t="s">
        <v>23</v>
      </c>
      <c r="B23" s="7" t="s">
        <v>19</v>
      </c>
      <c r="C23" s="7" t="s">
        <v>21</v>
      </c>
    </row>
    <row r="24" spans="1:4" x14ac:dyDescent="0.3">
      <c r="A24" t="s">
        <v>29</v>
      </c>
      <c r="B24" s="5">
        <f>SUMIF(Data!M:M,A24,Data!I:I)</f>
        <v>25464.579999999998</v>
      </c>
      <c r="C24" s="5">
        <f>SUMIF(Data!M:M,A24,Data!K:K)</f>
        <v>6812.6900000000023</v>
      </c>
    </row>
    <row r="25" spans="1:4" x14ac:dyDescent="0.3">
      <c r="A25" t="s">
        <v>92</v>
      </c>
      <c r="B25" s="5">
        <f>SUMIF(Data!M:M,A25,Data!I:I)</f>
        <v>35226.06</v>
      </c>
      <c r="C25" s="5">
        <f>SUMIF(Data!M:M,A25,Data!K:K)</f>
        <v>10040.1</v>
      </c>
    </row>
    <row r="26" spans="1:4" x14ac:dyDescent="0.3">
      <c r="A26" t="s">
        <v>156</v>
      </c>
      <c r="B26" s="5">
        <f>SUMIF(Data!M:M,A26,Data!I:I)</f>
        <v>25106.02</v>
      </c>
      <c r="C26" s="5">
        <f>SUMIF(Data!M:M,A26,Data!K:K)</f>
        <v>4946.3799999999992</v>
      </c>
    </row>
    <row r="27" spans="1:4" x14ac:dyDescent="0.3">
      <c r="A27" t="s">
        <v>203</v>
      </c>
      <c r="B27" s="5">
        <f>SUMIF(Data!M:M,A27,Data!I:I)</f>
        <v>22486.240000000002</v>
      </c>
      <c r="C27" s="5">
        <f>SUMIF(Data!M:M,A27,Data!K:K)</f>
        <v>5724.0299999999988</v>
      </c>
    </row>
    <row r="28" spans="1:4" x14ac:dyDescent="0.3">
      <c r="A28" t="s">
        <v>258</v>
      </c>
      <c r="B28" s="5">
        <f>SUMIF(Data!M:M,A28,Data!I:I)</f>
        <v>18704.600000000002</v>
      </c>
      <c r="C28" s="5">
        <f>SUMIF(Data!M:M,A28,Data!K:K)</f>
        <v>4719.5600000000004</v>
      </c>
    </row>
    <row r="29" spans="1:4" x14ac:dyDescent="0.3">
      <c r="A29" t="s">
        <v>296</v>
      </c>
      <c r="B29" s="5">
        <f>SUMIF(Data!M:M,A29,Data!I:I)</f>
        <v>16812.96</v>
      </c>
      <c r="C29" s="5">
        <f>SUMIF(Data!M:M,A29,Data!K:K)</f>
        <v>4457.9100000000008</v>
      </c>
    </row>
    <row r="30" spans="1:4" x14ac:dyDescent="0.3">
      <c r="A30" t="s">
        <v>356</v>
      </c>
      <c r="B30" s="5">
        <f>SUMIF(Data!M:M,A30,Data!I:I)</f>
        <v>32092.440000000002</v>
      </c>
      <c r="C30" s="5">
        <f>SUMIF(Data!M:M,A30,Data!K:K)</f>
        <v>9542.69</v>
      </c>
    </row>
    <row r="31" spans="1:4" x14ac:dyDescent="0.3">
      <c r="A31" t="s">
        <v>408</v>
      </c>
      <c r="B31" s="5">
        <f>SUMIF(Data!M:M,A31,Data!I:I)</f>
        <v>34109.599999999999</v>
      </c>
      <c r="C31" s="5">
        <f>SUMIF(Data!M:M,A31,Data!K:K)</f>
        <v>11726.030000000002</v>
      </c>
    </row>
    <row r="32" spans="1:4" x14ac:dyDescent="0.3">
      <c r="A32" t="s">
        <v>454</v>
      </c>
      <c r="B32" s="5">
        <f>SUMIF(Data!M:M,A32,Data!I:I)</f>
        <v>20780.260000000006</v>
      </c>
      <c r="C32" s="5">
        <f>SUMIF(Data!M:M,A32,Data!K:K)</f>
        <v>5595.59</v>
      </c>
    </row>
    <row r="33" spans="1:3" x14ac:dyDescent="0.3">
      <c r="A33" t="s">
        <v>501</v>
      </c>
      <c r="B33" s="5">
        <f>SUMIF(Data!M:M,A33,Data!I:I)</f>
        <v>28555.530000000002</v>
      </c>
      <c r="C33" s="5">
        <f>SUMIF(Data!M:M,A33,Data!K:K)</f>
        <v>7055.93</v>
      </c>
    </row>
    <row r="34" spans="1:3" x14ac:dyDescent="0.3">
      <c r="A34" t="s">
        <v>565</v>
      </c>
      <c r="B34" s="5">
        <f>SUMIF(Data!M:M,A34,Data!I:I)</f>
        <v>27132.579999999998</v>
      </c>
      <c r="C34" s="5">
        <f>SUMIF(Data!M:M,A34,Data!K:K)</f>
        <v>9380.8199999999979</v>
      </c>
    </row>
    <row r="35" spans="1:3" x14ac:dyDescent="0.3">
      <c r="A35" t="s">
        <v>606</v>
      </c>
      <c r="B35" s="5">
        <f>SUMIF(Data!M:M,A35,Data!I:I)</f>
        <v>20133.830000000002</v>
      </c>
      <c r="C35" s="5">
        <f>SUMIF(Data!M:M,A35,Data!K:K)</f>
        <v>5192.2299999999996</v>
      </c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B9" sqref="B9"/>
    </sheetView>
  </sheetViews>
  <sheetFormatPr defaultRowHeight="14.4" x14ac:dyDescent="0.3"/>
  <cols>
    <col min="1" max="1" width="22" customWidth="1"/>
    <col min="2" max="2" width="70" customWidth="1"/>
    <col min="3" max="3" width="48" customWidth="1"/>
  </cols>
  <sheetData>
    <row r="1" spans="1:3" x14ac:dyDescent="0.3">
      <c r="A1" s="3" t="s">
        <v>678</v>
      </c>
      <c r="B1" s="3" t="s">
        <v>679</v>
      </c>
      <c r="C1" s="3" t="s">
        <v>680</v>
      </c>
    </row>
    <row r="2" spans="1:3" ht="36" customHeight="1" x14ac:dyDescent="0.3">
      <c r="A2" s="2" t="s">
        <v>681</v>
      </c>
      <c r="B2" s="2" t="s">
        <v>682</v>
      </c>
      <c r="C2" s="2" t="s">
        <v>683</v>
      </c>
    </row>
    <row r="3" spans="1:3" ht="36" customHeight="1" x14ac:dyDescent="0.3">
      <c r="A3" s="2" t="s">
        <v>684</v>
      </c>
      <c r="B3" s="2" t="s">
        <v>685</v>
      </c>
      <c r="C3" s="2" t="s">
        <v>686</v>
      </c>
    </row>
    <row r="4" spans="1:3" ht="36" customHeight="1" x14ac:dyDescent="0.3">
      <c r="A4" s="2" t="s">
        <v>14</v>
      </c>
      <c r="B4" s="2" t="s">
        <v>687</v>
      </c>
      <c r="C4" s="2" t="s">
        <v>688</v>
      </c>
    </row>
    <row r="5" spans="1:3" ht="36" customHeight="1" x14ac:dyDescent="0.3">
      <c r="A5" s="2" t="s">
        <v>13</v>
      </c>
      <c r="B5" s="2" t="s">
        <v>689</v>
      </c>
      <c r="C5" s="2" t="s">
        <v>690</v>
      </c>
    </row>
    <row r="6" spans="1:3" ht="36" customHeight="1" x14ac:dyDescent="0.3">
      <c r="A6" s="2" t="s">
        <v>691</v>
      </c>
      <c r="B6" s="2" t="s">
        <v>692</v>
      </c>
      <c r="C6" s="2" t="s">
        <v>693</v>
      </c>
    </row>
    <row r="7" spans="1:3" ht="36" customHeight="1" x14ac:dyDescent="0.3">
      <c r="A7" s="2" t="s">
        <v>694</v>
      </c>
      <c r="B7" s="2" t="s">
        <v>695</v>
      </c>
      <c r="C7" s="2" t="s">
        <v>696</v>
      </c>
    </row>
    <row r="8" spans="1:3" ht="36" customHeight="1" x14ac:dyDescent="0.3">
      <c r="A8" s="2" t="s">
        <v>697</v>
      </c>
      <c r="B8" s="2" t="s">
        <v>698</v>
      </c>
      <c r="C8" s="2" t="s">
        <v>699</v>
      </c>
    </row>
    <row r="9" spans="1:3" ht="36" customHeight="1" x14ac:dyDescent="0.3">
      <c r="A9" s="2" t="s">
        <v>700</v>
      </c>
      <c r="B9" s="2" t="s">
        <v>701</v>
      </c>
      <c r="C9" s="2" t="s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Data</vt:lpstr>
      <vt:lpstr>Summary</vt:lpstr>
      <vt:lpstr>Analysis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mitesh suthar</cp:lastModifiedBy>
  <dcterms:created xsi:type="dcterms:W3CDTF">2026-10-23T04:03:23Z</dcterms:created>
  <dcterms:modified xsi:type="dcterms:W3CDTF">2026-10-23T05:49:29Z</dcterms:modified>
</cp:coreProperties>
</file>